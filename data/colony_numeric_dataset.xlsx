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ny Data" sheetId="1" state="visible" r:id="rId1"/>
    <sheet name="Strain Summary" sheetId="2" state="visible" r:id="rId2"/>
    <sheet name="Plat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45" customWidth="1" min="4" max="4"/>
    <col width="16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strain</t>
        </is>
      </c>
      <c r="B1" s="1" t="inlineStr">
        <is>
          <t>plate_group</t>
        </is>
      </c>
      <c r="C1" s="1" t="inlineStr">
        <is>
          <t>crop_path</t>
        </is>
      </c>
      <c r="D1" s="1" t="inlineStr">
        <is>
          <t>source_image</t>
        </is>
      </c>
      <c r="E1" s="1" t="inlineStr">
        <is>
          <t>equiv_diameter</t>
        </is>
      </c>
      <c r="F1" s="1" t="inlineStr">
        <is>
          <t>circularity</t>
        </is>
      </c>
      <c r="G1" s="1" t="inlineStr">
        <is>
          <t>solidity</t>
        </is>
      </c>
      <c r="H1" s="1" t="inlineStr">
        <is>
          <t>mean_hue</t>
        </is>
      </c>
      <c r="I1" s="1" t="inlineStr">
        <is>
          <t>mean_sat</t>
        </is>
      </c>
      <c r="J1" s="1" t="inlineStr">
        <is>
          <t>mean_val</t>
        </is>
      </c>
      <c r="K1" s="1" t="inlineStr">
        <is>
          <t>std_hue</t>
        </is>
      </c>
      <c r="L1" s="1" t="inlineStr">
        <is>
          <t>std_sat</t>
        </is>
      </c>
      <c r="M1" s="1" t="inlineStr">
        <is>
          <t>std_val</t>
        </is>
      </c>
      <c r="N1" s="1" t="inlineStr">
        <is>
          <t>texture_std</t>
        </is>
      </c>
    </row>
    <row r="2">
      <c r="A2" s="2" t="inlineStr">
        <is>
          <t>ALE</t>
        </is>
      </c>
      <c r="B2" s="2" t="inlineStr">
        <is>
          <t>ALE_plate1</t>
        </is>
      </c>
      <c r="C2" s="2" t="inlineStr">
        <is>
          <t>cropped_colonies\ALE\ALE(뒤)-1__colony01.jpg</t>
        </is>
      </c>
      <c r="D2" s="2" t="inlineStr">
        <is>
          <t>Colony picture (1)\Colony picture\ALE\ALE(뒤)-1.jpg</t>
        </is>
      </c>
      <c r="E2" s="2" t="n">
        <v>24.384</v>
      </c>
      <c r="F2" s="2" t="n">
        <v>0.864</v>
      </c>
      <c r="G2" s="2" t="n">
        <v>0.969</v>
      </c>
      <c r="H2" s="2" t="n">
        <v>45.909</v>
      </c>
      <c r="I2" s="2" t="n">
        <v>176.181</v>
      </c>
      <c r="J2" s="2" t="n">
        <v>55.419</v>
      </c>
      <c r="K2" s="2" t="n">
        <v>6.712</v>
      </c>
      <c r="L2" s="2" t="n">
        <v>56.404</v>
      </c>
      <c r="M2" s="2" t="n">
        <v>34.377</v>
      </c>
      <c r="N2" s="2" t="n">
        <v>33.714</v>
      </c>
    </row>
    <row r="3">
      <c r="A3" s="3" t="inlineStr">
        <is>
          <t>ALE</t>
        </is>
      </c>
      <c r="B3" s="3" t="inlineStr">
        <is>
          <t>ALE_plate1</t>
        </is>
      </c>
      <c r="C3" s="3" t="inlineStr">
        <is>
          <t>cropped_colonies\ALE\ALE(뒤)-1__colony02.jpg</t>
        </is>
      </c>
      <c r="D3" s="3" t="inlineStr">
        <is>
          <t>Colony picture (1)\Colony picture\ALE\ALE(뒤)-1.jpg</t>
        </is>
      </c>
      <c r="E3" s="3" t="n">
        <v>16.313</v>
      </c>
      <c r="F3" s="3" t="n">
        <v>0.919</v>
      </c>
      <c r="G3" s="3" t="n">
        <v>0.986</v>
      </c>
      <c r="H3" s="3" t="n">
        <v>42.137</v>
      </c>
      <c r="I3" s="3" t="n">
        <v>177.597</v>
      </c>
      <c r="J3" s="3" t="n">
        <v>65.72499999999999</v>
      </c>
      <c r="K3" s="3" t="n">
        <v>1.853</v>
      </c>
      <c r="L3" s="3" t="n">
        <v>62.515</v>
      </c>
      <c r="M3" s="3" t="n">
        <v>33.112</v>
      </c>
      <c r="N3" s="3" t="n">
        <v>33.003</v>
      </c>
    </row>
    <row r="4">
      <c r="A4" s="2" t="inlineStr">
        <is>
          <t>ALE</t>
        </is>
      </c>
      <c r="B4" s="2" t="inlineStr">
        <is>
          <t>ALE_plate1</t>
        </is>
      </c>
      <c r="C4" s="2" t="inlineStr">
        <is>
          <t>cropped_colonies\ALE\ALE(뒤)-1__colony03.jpg</t>
        </is>
      </c>
      <c r="D4" s="2" t="inlineStr">
        <is>
          <t>Colony picture (1)\Colony picture\ALE\ALE(뒤)-1.jpg</t>
        </is>
      </c>
      <c r="E4" s="2" t="n">
        <v>22.624</v>
      </c>
      <c r="F4" s="2" t="n">
        <v>0.876</v>
      </c>
      <c r="G4" s="2" t="n">
        <v>0.971</v>
      </c>
      <c r="H4" s="2" t="n">
        <v>42.158</v>
      </c>
      <c r="I4" s="2" t="n">
        <v>187.186</v>
      </c>
      <c r="J4" s="2" t="n">
        <v>59.658</v>
      </c>
      <c r="K4" s="2" t="n">
        <v>2.862</v>
      </c>
      <c r="L4" s="2" t="n">
        <v>59.774</v>
      </c>
      <c r="M4" s="2" t="n">
        <v>34.009</v>
      </c>
      <c r="N4" s="2" t="n">
        <v>33.541</v>
      </c>
    </row>
    <row r="5">
      <c r="A5" s="3" t="inlineStr">
        <is>
          <t>ALE</t>
        </is>
      </c>
      <c r="B5" s="3" t="inlineStr">
        <is>
          <t>ALE_plate1</t>
        </is>
      </c>
      <c r="C5" s="3" t="inlineStr">
        <is>
          <t>cropped_colonies\ALE\ALE(뒤)-1__colony04.jpg</t>
        </is>
      </c>
      <c r="D5" s="3" t="inlineStr">
        <is>
          <t>Colony picture (1)\Colony picture\ALE\ALE(뒤)-1.jpg</t>
        </is>
      </c>
      <c r="E5" s="3" t="n">
        <v>43.167</v>
      </c>
      <c r="F5" s="3" t="n">
        <v>0.615</v>
      </c>
      <c r="G5" s="3" t="n">
        <v>0.884</v>
      </c>
      <c r="H5" s="3" t="n">
        <v>43.124</v>
      </c>
      <c r="I5" s="3" t="n">
        <v>199.187</v>
      </c>
      <c r="J5" s="3" t="n">
        <v>59.95</v>
      </c>
      <c r="K5" s="3" t="n">
        <v>5.288</v>
      </c>
      <c r="L5" s="3" t="n">
        <v>56.805</v>
      </c>
      <c r="M5" s="3" t="n">
        <v>36.757</v>
      </c>
      <c r="N5" s="3" t="n">
        <v>36.109</v>
      </c>
    </row>
    <row r="6">
      <c r="A6" s="2" t="inlineStr">
        <is>
          <t>ALE</t>
        </is>
      </c>
      <c r="B6" s="2" t="inlineStr">
        <is>
          <t>ALE_plate1</t>
        </is>
      </c>
      <c r="C6" s="2" t="inlineStr">
        <is>
          <t>cropped_colonies\ALE\ALE(앞)-1__colony01.jpg</t>
        </is>
      </c>
      <c r="D6" s="2" t="inlineStr">
        <is>
          <t>Colony picture (1)\Colony picture\ALE\ALE(앞)-1.jpg</t>
        </is>
      </c>
      <c r="E6" s="2" t="n">
        <v>23.642</v>
      </c>
      <c r="F6" s="2" t="n">
        <v>0.889</v>
      </c>
      <c r="G6" s="2" t="n">
        <v>0.98</v>
      </c>
      <c r="H6" s="2" t="n">
        <v>59.008</v>
      </c>
      <c r="I6" s="2" t="n">
        <v>109.994</v>
      </c>
      <c r="J6" s="2" t="n">
        <v>53.392</v>
      </c>
      <c r="K6" s="2" t="n">
        <v>10.033</v>
      </c>
      <c r="L6" s="2" t="n">
        <v>22.229</v>
      </c>
      <c r="M6" s="2" t="n">
        <v>16.703</v>
      </c>
      <c r="N6" s="2" t="n">
        <v>16.444</v>
      </c>
    </row>
    <row r="7">
      <c r="A7" s="3" t="inlineStr">
        <is>
          <t>ALE</t>
        </is>
      </c>
      <c r="B7" s="3" t="inlineStr">
        <is>
          <t>ALE_plate1</t>
        </is>
      </c>
      <c r="C7" s="3" t="inlineStr">
        <is>
          <t>cropped_colonies\ALE\ALE(앞)-1__colony02.jpg</t>
        </is>
      </c>
      <c r="D7" s="3" t="inlineStr">
        <is>
          <t>Colony picture (1)\Colony picture\ALE\ALE(앞)-1.jpg</t>
        </is>
      </c>
      <c r="E7" s="3" t="n">
        <v>15.181</v>
      </c>
      <c r="F7" s="3" t="n">
        <v>0.887</v>
      </c>
      <c r="G7" s="3" t="n">
        <v>0.968</v>
      </c>
      <c r="H7" s="3" t="n">
        <v>55.162</v>
      </c>
      <c r="I7" s="3" t="n">
        <v>93.083</v>
      </c>
      <c r="J7" s="3" t="n">
        <v>61.382</v>
      </c>
      <c r="K7" s="3" t="n">
        <v>6.636</v>
      </c>
      <c r="L7" s="3" t="n">
        <v>14.16</v>
      </c>
      <c r="M7" s="3" t="n">
        <v>13.224</v>
      </c>
      <c r="N7" s="3" t="n">
        <v>13.113</v>
      </c>
    </row>
    <row r="8">
      <c r="A8" s="2" t="inlineStr">
        <is>
          <t>ALE</t>
        </is>
      </c>
      <c r="B8" s="2" t="inlineStr">
        <is>
          <t>ALE_plate1</t>
        </is>
      </c>
      <c r="C8" s="2" t="inlineStr">
        <is>
          <t>cropped_colonies\ALE\ALE(앞)-1__colony03.jpg</t>
        </is>
      </c>
      <c r="D8" s="2" t="inlineStr">
        <is>
          <t>Colony picture (1)\Colony picture\ALE\ALE(앞)-1.jpg</t>
        </is>
      </c>
      <c r="E8" s="2" t="n">
        <v>21.807</v>
      </c>
      <c r="F8" s="2" t="n">
        <v>0.872</v>
      </c>
      <c r="G8" s="2" t="n">
        <v>0.97</v>
      </c>
      <c r="H8" s="2" t="n">
        <v>57.776</v>
      </c>
      <c r="I8" s="2" t="n">
        <v>95.13500000000001</v>
      </c>
      <c r="J8" s="2" t="n">
        <v>59.786</v>
      </c>
      <c r="K8" s="2" t="n">
        <v>10.056</v>
      </c>
      <c r="L8" s="2" t="n">
        <v>13.754</v>
      </c>
      <c r="M8" s="2" t="n">
        <v>14.788</v>
      </c>
      <c r="N8" s="2" t="n">
        <v>14.58</v>
      </c>
    </row>
    <row r="9">
      <c r="A9" s="3" t="inlineStr">
        <is>
          <t>ALE</t>
        </is>
      </c>
      <c r="B9" s="3" t="inlineStr">
        <is>
          <t>ALE_plate1</t>
        </is>
      </c>
      <c r="C9" s="3" t="inlineStr">
        <is>
          <t>cropped_colonies\ALE\ALE(앞)-1__colony04.jpg</t>
        </is>
      </c>
      <c r="D9" s="3" t="inlineStr">
        <is>
          <t>Colony picture (1)\Colony picture\ALE\ALE(앞)-1.jpg</t>
        </is>
      </c>
      <c r="E9" s="3" t="n">
        <v>42.483</v>
      </c>
      <c r="F9" s="3" t="n">
        <v>0.612</v>
      </c>
      <c r="G9" s="3" t="n">
        <v>0.886</v>
      </c>
      <c r="H9" s="3" t="n">
        <v>55.31</v>
      </c>
      <c r="I9" s="3" t="n">
        <v>103.991</v>
      </c>
      <c r="J9" s="3" t="n">
        <v>60.775</v>
      </c>
      <c r="K9" s="3" t="n">
        <v>10.532</v>
      </c>
      <c r="L9" s="3" t="n">
        <v>21.245</v>
      </c>
      <c r="M9" s="3" t="n">
        <v>19.5</v>
      </c>
      <c r="N9" s="3" t="n">
        <v>19.024</v>
      </c>
    </row>
    <row r="10">
      <c r="A10" s="2" t="inlineStr">
        <is>
          <t>ALE</t>
        </is>
      </c>
      <c r="B10" s="2" t="inlineStr">
        <is>
          <t>ALE_plate2</t>
        </is>
      </c>
      <c r="C10" s="2" t="inlineStr">
        <is>
          <t>cropped_colonies\ALE\ALE(앞)-2__colony01.jpg</t>
        </is>
      </c>
      <c r="D10" s="2" t="inlineStr">
        <is>
          <t>Colony picture (1)\Colony picture\ALE\ALE(앞)-2.jpg</t>
        </is>
      </c>
      <c r="E10" s="2" t="n">
        <v>7.136</v>
      </c>
      <c r="F10" s="2" t="n">
        <v>0.838</v>
      </c>
      <c r="G10" s="2" t="n">
        <v>0.952</v>
      </c>
      <c r="H10" s="2" t="n">
        <v>56.865</v>
      </c>
      <c r="I10" s="2" t="n">
        <v>126.096</v>
      </c>
      <c r="J10" s="2" t="n">
        <v>43.596</v>
      </c>
      <c r="K10" s="2" t="n">
        <v>4.498</v>
      </c>
      <c r="L10" s="2" t="n">
        <v>47.433</v>
      </c>
      <c r="M10" s="2" t="n">
        <v>15.834</v>
      </c>
      <c r="N10" s="2" t="n">
        <v>15.902</v>
      </c>
    </row>
    <row r="11">
      <c r="A11" s="3" t="inlineStr">
        <is>
          <t>ALE</t>
        </is>
      </c>
      <c r="B11" s="3" t="inlineStr">
        <is>
          <t>ALE_plate2</t>
        </is>
      </c>
      <c r="C11" s="3" t="inlineStr">
        <is>
          <t>cropped_colonies\ALE\ALE(앞)-2__colony02.jpg</t>
        </is>
      </c>
      <c r="D11" s="3" t="inlineStr">
        <is>
          <t>Colony picture (1)\Colony picture\ALE\ALE(앞)-2.jpg</t>
        </is>
      </c>
      <c r="E11" s="3" t="n">
        <v>10.249</v>
      </c>
      <c r="F11" s="3" t="n">
        <v>0.921</v>
      </c>
      <c r="G11" s="3" t="n">
        <v>0.988</v>
      </c>
      <c r="H11" s="3" t="n">
        <v>64.837</v>
      </c>
      <c r="I11" s="3" t="n">
        <v>125.469</v>
      </c>
      <c r="J11" s="3" t="n">
        <v>40.449</v>
      </c>
      <c r="K11" s="3" t="n">
        <v>7.243</v>
      </c>
      <c r="L11" s="3" t="n">
        <v>48.067</v>
      </c>
      <c r="M11" s="3" t="n">
        <v>14.865</v>
      </c>
      <c r="N11" s="3" t="n">
        <v>15.017</v>
      </c>
    </row>
    <row r="12">
      <c r="A12" s="2" t="inlineStr">
        <is>
          <t>ALE</t>
        </is>
      </c>
      <c r="B12" s="2" t="inlineStr">
        <is>
          <t>ALE_plate2</t>
        </is>
      </c>
      <c r="C12" s="2" t="inlineStr">
        <is>
          <t>cropped_colonies\ALE\ALE(앞)-2__colony03.jpg</t>
        </is>
      </c>
      <c r="D12" s="2" t="inlineStr">
        <is>
          <t>Colony picture (1)\Colony picture\ALE\ALE(앞)-2.jpg</t>
        </is>
      </c>
      <c r="E12" s="2" t="n">
        <v>10.124</v>
      </c>
      <c r="F12" s="2" t="n">
        <v>0.898</v>
      </c>
      <c r="G12" s="2" t="n">
        <v>0.976</v>
      </c>
      <c r="H12" s="2" t="n">
        <v>61.031</v>
      </c>
      <c r="I12" s="2" t="n">
        <v>126.427</v>
      </c>
      <c r="J12" s="2" t="n">
        <v>43.729</v>
      </c>
      <c r="K12" s="2" t="n">
        <v>5.711</v>
      </c>
      <c r="L12" s="2" t="n">
        <v>54.672</v>
      </c>
      <c r="M12" s="2" t="n">
        <v>15.777</v>
      </c>
      <c r="N12" s="2" t="n">
        <v>16.035</v>
      </c>
    </row>
    <row r="13">
      <c r="A13" s="3" t="inlineStr">
        <is>
          <t>ALE</t>
        </is>
      </c>
      <c r="B13" s="3" t="inlineStr">
        <is>
          <t>ALE_plate2</t>
        </is>
      </c>
      <c r="C13" s="3" t="inlineStr">
        <is>
          <t>cropped_colonies\ALE\ALE(앞)-2__colony04.jpg</t>
        </is>
      </c>
      <c r="D13" s="3" t="inlineStr">
        <is>
          <t>Colony picture (1)\Colony picture\ALE\ALE(앞)-2.jpg</t>
        </is>
      </c>
      <c r="E13" s="3" t="n">
        <v>9.772</v>
      </c>
      <c r="F13" s="3" t="n">
        <v>0.8090000000000001</v>
      </c>
      <c r="G13" s="3" t="n">
        <v>0.9379999999999999</v>
      </c>
      <c r="H13" s="3" t="n">
        <v>65.11</v>
      </c>
      <c r="I13" s="3" t="n">
        <v>130.165</v>
      </c>
      <c r="J13" s="3" t="n">
        <v>36.78</v>
      </c>
      <c r="K13" s="3" t="n">
        <v>6.019</v>
      </c>
      <c r="L13" s="3" t="n">
        <v>42.916</v>
      </c>
      <c r="M13" s="3" t="n">
        <v>12.628</v>
      </c>
      <c r="N13" s="3" t="n">
        <v>12.822</v>
      </c>
    </row>
    <row r="14">
      <c r="A14" s="2" t="inlineStr">
        <is>
          <t>ALE</t>
        </is>
      </c>
      <c r="B14" s="2" t="inlineStr">
        <is>
          <t>ALE_plate2</t>
        </is>
      </c>
      <c r="C14" s="2" t="inlineStr">
        <is>
          <t>cropped_colonies\ALE\ALE(앞)-2__colony05.jpg</t>
        </is>
      </c>
      <c r="D14" s="2" t="inlineStr">
        <is>
          <t>Colony picture (1)\Colony picture\ALE\ALE(앞)-2.jpg</t>
        </is>
      </c>
      <c r="E14" s="2" t="n">
        <v>12.074</v>
      </c>
      <c r="F14" s="2" t="n">
        <v>0.882</v>
      </c>
      <c r="G14" s="2" t="n">
        <v>0.966</v>
      </c>
      <c r="H14" s="2" t="n">
        <v>62.511</v>
      </c>
      <c r="I14" s="2" t="n">
        <v>137.82</v>
      </c>
      <c r="J14" s="2" t="n">
        <v>37.496</v>
      </c>
      <c r="K14" s="2" t="n">
        <v>5.402</v>
      </c>
      <c r="L14" s="2" t="n">
        <v>52.537</v>
      </c>
      <c r="M14" s="2" t="n">
        <v>15.376</v>
      </c>
      <c r="N14" s="2" t="n">
        <v>15.306</v>
      </c>
    </row>
    <row r="15">
      <c r="A15" s="3" t="inlineStr">
        <is>
          <t>ALE</t>
        </is>
      </c>
      <c r="B15" s="3" t="inlineStr">
        <is>
          <t>ALE_plate3</t>
        </is>
      </c>
      <c r="C15" s="3" t="inlineStr">
        <is>
          <t>cropped_colonies\ALE\ALE(앞)-3__colony01.jpg</t>
        </is>
      </c>
      <c r="D15" s="3" t="inlineStr">
        <is>
          <t>Colony picture (1)\Colony picture\ALE\ALE(앞)-3.jpg</t>
        </is>
      </c>
      <c r="E15" s="3" t="n">
        <v>10.794</v>
      </c>
      <c r="F15" s="3" t="n">
        <v>0.78</v>
      </c>
      <c r="G15" s="3" t="n">
        <v>0.915</v>
      </c>
      <c r="H15" s="3" t="n">
        <v>72.28400000000001</v>
      </c>
      <c r="I15" s="3" t="n">
        <v>115.89</v>
      </c>
      <c r="J15" s="3" t="n">
        <v>60.101</v>
      </c>
      <c r="K15" s="3" t="n">
        <v>4.677</v>
      </c>
      <c r="L15" s="3" t="n">
        <v>28.547</v>
      </c>
      <c r="M15" s="3" t="n">
        <v>18.682</v>
      </c>
      <c r="N15" s="3" t="n">
        <v>18.674</v>
      </c>
    </row>
    <row r="16">
      <c r="A16" s="2" t="inlineStr">
        <is>
          <t>ALE</t>
        </is>
      </c>
      <c r="B16" s="2" t="inlineStr">
        <is>
          <t>ALE_plate3</t>
        </is>
      </c>
      <c r="C16" s="2" t="inlineStr">
        <is>
          <t>cropped_colonies\ALE\ALE(앞)-3__colony02.jpg</t>
        </is>
      </c>
      <c r="D16" s="2" t="inlineStr">
        <is>
          <t>Colony picture (1)\Colony picture\ALE\ALE(앞)-3.jpg</t>
        </is>
      </c>
      <c r="E16" s="2" t="n">
        <v>7.569</v>
      </c>
      <c r="F16" s="2" t="n">
        <v>0.882</v>
      </c>
      <c r="G16" s="2" t="n">
        <v>0.968</v>
      </c>
      <c r="H16" s="2" t="n">
        <v>73.509</v>
      </c>
      <c r="I16" s="2" t="n">
        <v>120.246</v>
      </c>
      <c r="J16" s="2" t="n">
        <v>66.386</v>
      </c>
      <c r="K16" s="2" t="n">
        <v>3.756</v>
      </c>
      <c r="L16" s="2" t="n">
        <v>32.277</v>
      </c>
      <c r="M16" s="2" t="n">
        <v>21.717</v>
      </c>
      <c r="N16" s="2" t="n">
        <v>21.964</v>
      </c>
    </row>
    <row r="17">
      <c r="A17" s="3" t="inlineStr">
        <is>
          <t>HMF</t>
        </is>
      </c>
      <c r="B17" s="3" t="inlineStr">
        <is>
          <t>HMF_plate1</t>
        </is>
      </c>
      <c r="C17" s="3" t="inlineStr">
        <is>
          <t>cropped_colonies\HMF\HMF(뒤)-1__colony01.jpg</t>
        </is>
      </c>
      <c r="D17" s="3" t="inlineStr">
        <is>
          <t>Colony picture (1)\Colony picture\HMF\HMF(뒤)-1.jpg</t>
        </is>
      </c>
      <c r="E17" s="3" t="n">
        <v>20.959</v>
      </c>
      <c r="F17" s="3" t="n">
        <v>0.908</v>
      </c>
      <c r="G17" s="3" t="n">
        <v>0.983</v>
      </c>
      <c r="H17" s="3" t="n">
        <v>58.165</v>
      </c>
      <c r="I17" s="3" t="n">
        <v>115.399</v>
      </c>
      <c r="J17" s="3" t="n">
        <v>45.694</v>
      </c>
      <c r="K17" s="3" t="n">
        <v>8.109999999999999</v>
      </c>
      <c r="L17" s="3" t="n">
        <v>33.195</v>
      </c>
      <c r="M17" s="3" t="n">
        <v>17.288</v>
      </c>
      <c r="N17" s="3" t="n">
        <v>16.523</v>
      </c>
    </row>
    <row r="18">
      <c r="A18" s="2" t="inlineStr">
        <is>
          <t>HMF</t>
        </is>
      </c>
      <c r="B18" s="2" t="inlineStr">
        <is>
          <t>HMF_plate1</t>
        </is>
      </c>
      <c r="C18" s="2" t="inlineStr">
        <is>
          <t>cropped_colonies\HMF\HMF(뒤)-1__colony02.jpg</t>
        </is>
      </c>
      <c r="D18" s="2" t="inlineStr">
        <is>
          <t>Colony picture (1)\Colony picture\HMF\HMF(뒤)-1.jpg</t>
        </is>
      </c>
      <c r="E18" s="2" t="n">
        <v>15.244</v>
      </c>
      <c r="F18" s="2" t="n">
        <v>0.916</v>
      </c>
      <c r="G18" s="2" t="n">
        <v>0.984</v>
      </c>
      <c r="H18" s="2" t="n">
        <v>59.205</v>
      </c>
      <c r="I18" s="2" t="n">
        <v>135.454</v>
      </c>
      <c r="J18" s="2" t="n">
        <v>37.151</v>
      </c>
      <c r="K18" s="2" t="n">
        <v>6.236</v>
      </c>
      <c r="L18" s="2" t="n">
        <v>44.672</v>
      </c>
      <c r="M18" s="2" t="n">
        <v>15.976</v>
      </c>
      <c r="N18" s="2" t="n">
        <v>15.147</v>
      </c>
    </row>
    <row r="19">
      <c r="A19" s="3" t="inlineStr">
        <is>
          <t>HMF</t>
        </is>
      </c>
      <c r="B19" s="3" t="inlineStr">
        <is>
          <t>HMF_plate2</t>
        </is>
      </c>
      <c r="C19" s="3" t="inlineStr">
        <is>
          <t>cropped_colonies\HMF\HMF(뒤)-2__colony02.jpg</t>
        </is>
      </c>
      <c r="D19" s="3" t="inlineStr">
        <is>
          <t>Colony picture (1)\Colony picture\HMF\HMF(뒤)-2.jpg</t>
        </is>
      </c>
      <c r="E19" s="3" t="n">
        <v>12.54</v>
      </c>
      <c r="F19" s="3" t="n">
        <v>0.748</v>
      </c>
      <c r="G19" s="3" t="n">
        <v>0.95</v>
      </c>
      <c r="H19" s="3" t="n">
        <v>65.503</v>
      </c>
      <c r="I19" s="3" t="n">
        <v>153.166</v>
      </c>
      <c r="J19" s="3" t="n">
        <v>38.641</v>
      </c>
      <c r="K19" s="3" t="n">
        <v>7.139</v>
      </c>
      <c r="L19" s="3" t="n">
        <v>66.05500000000001</v>
      </c>
      <c r="M19" s="3" t="n">
        <v>21.505</v>
      </c>
      <c r="N19" s="3" t="n">
        <v>21.307</v>
      </c>
    </row>
    <row r="20">
      <c r="A20" s="2" t="inlineStr">
        <is>
          <t>HMF</t>
        </is>
      </c>
      <c r="B20" s="2" t="inlineStr">
        <is>
          <t>HMF_plate1</t>
        </is>
      </c>
      <c r="C20" s="2" t="inlineStr">
        <is>
          <t>cropped_colonies\HMF\HMF(앞)-1__colony01.jpg</t>
        </is>
      </c>
      <c r="D20" s="2" t="inlineStr">
        <is>
          <t>Colony picture (1)\Colony picture\HMF\HMF(앞)-1.jpg</t>
        </is>
      </c>
      <c r="E20" s="2" t="n">
        <v>16.603</v>
      </c>
      <c r="F20" s="2" t="n">
        <v>0.8080000000000001</v>
      </c>
      <c r="G20" s="2" t="n">
        <v>0.9429999999999999</v>
      </c>
      <c r="H20" s="2" t="n">
        <v>51.255</v>
      </c>
      <c r="I20" s="2" t="n">
        <v>153.588</v>
      </c>
      <c r="J20" s="2" t="n">
        <v>41.761</v>
      </c>
      <c r="K20" s="2" t="n">
        <v>7.722</v>
      </c>
      <c r="L20" s="2" t="n">
        <v>50.7</v>
      </c>
      <c r="M20" s="2" t="n">
        <v>18.959</v>
      </c>
      <c r="N20" s="2" t="n">
        <v>18.5</v>
      </c>
    </row>
    <row r="21">
      <c r="A21" s="3" t="inlineStr">
        <is>
          <t>HMF</t>
        </is>
      </c>
      <c r="B21" s="3" t="inlineStr">
        <is>
          <t>HMF_plate1</t>
        </is>
      </c>
      <c r="C21" s="3" t="inlineStr">
        <is>
          <t>cropped_colonies\HMF\HMF(앞)-1__colony02.jpg</t>
        </is>
      </c>
      <c r="D21" s="3" t="inlineStr">
        <is>
          <t>Colony picture (1)\Colony picture\HMF\HMF(앞)-1.jpg</t>
        </is>
      </c>
      <c r="E21" s="3" t="n">
        <v>21.924</v>
      </c>
      <c r="F21" s="3" t="n">
        <v>0.862</v>
      </c>
      <c r="G21" s="3" t="n">
        <v>0.963</v>
      </c>
      <c r="H21" s="3" t="n">
        <v>52.437</v>
      </c>
      <c r="I21" s="3" t="n">
        <v>151.829</v>
      </c>
      <c r="J21" s="3" t="n">
        <v>42.578</v>
      </c>
      <c r="K21" s="3" t="n">
        <v>9.952</v>
      </c>
      <c r="L21" s="3" t="n">
        <v>47.216</v>
      </c>
      <c r="M21" s="3" t="n">
        <v>23.636</v>
      </c>
      <c r="N21" s="3" t="n">
        <v>22.955</v>
      </c>
    </row>
    <row r="22">
      <c r="A22" s="2" t="inlineStr">
        <is>
          <t>HMF</t>
        </is>
      </c>
      <c r="B22" s="2" t="inlineStr">
        <is>
          <t>HMF_plate2</t>
        </is>
      </c>
      <c r="C22" s="2" t="inlineStr">
        <is>
          <t>cropped_colonies\HMF\HMF(앞)-2__colony01.jpg</t>
        </is>
      </c>
      <c r="D22" s="2" t="inlineStr">
        <is>
          <t>Colony picture (1)\Colony picture\HMF\HMF(앞)-2.jpg</t>
        </is>
      </c>
      <c r="E22" s="2" t="n">
        <v>8.292</v>
      </c>
      <c r="F22" s="2" t="n">
        <v>0.857</v>
      </c>
      <c r="G22" s="2" t="n">
        <v>0.956</v>
      </c>
      <c r="H22" s="2" t="n">
        <v>69.224</v>
      </c>
      <c r="I22" s="2" t="n">
        <v>94.239</v>
      </c>
      <c r="J22" s="2" t="n">
        <v>37.642</v>
      </c>
      <c r="K22" s="2" t="n">
        <v>3.623</v>
      </c>
      <c r="L22" s="2" t="n">
        <v>24.166</v>
      </c>
      <c r="M22" s="2" t="n">
        <v>9.358000000000001</v>
      </c>
      <c r="N22" s="2" t="n">
        <v>9.263999999999999</v>
      </c>
    </row>
    <row r="23">
      <c r="A23" s="3" t="inlineStr">
        <is>
          <t>HMF</t>
        </is>
      </c>
      <c r="B23" s="3" t="inlineStr">
        <is>
          <t>HMF_plate2</t>
        </is>
      </c>
      <c r="C23" s="3" t="inlineStr">
        <is>
          <t>cropped_colonies\HMF\HMF(앞)-2__colony02.jpg</t>
        </is>
      </c>
      <c r="D23" s="3" t="inlineStr">
        <is>
          <t>Colony picture (1)\Colony picture\HMF\HMF(앞)-2.jpg</t>
        </is>
      </c>
      <c r="E23" s="3" t="n">
        <v>23.289</v>
      </c>
      <c r="F23" s="3" t="n">
        <v>0.863</v>
      </c>
      <c r="G23" s="3" t="n">
        <v>0.969</v>
      </c>
      <c r="H23" s="3" t="n">
        <v>71.755</v>
      </c>
      <c r="I23" s="3" t="n">
        <v>150.416</v>
      </c>
      <c r="J23" s="3" t="n">
        <v>24.928</v>
      </c>
      <c r="K23" s="3" t="n">
        <v>11.73</v>
      </c>
      <c r="L23" s="3" t="n">
        <v>44.362</v>
      </c>
      <c r="M23" s="3" t="n">
        <v>12.263</v>
      </c>
      <c r="N23" s="3" t="n">
        <v>11.704</v>
      </c>
    </row>
    <row r="24">
      <c r="A24" s="2" t="inlineStr">
        <is>
          <t>HS19</t>
        </is>
      </c>
      <c r="B24" s="2" t="inlineStr">
        <is>
          <t>HS19_plate1</t>
        </is>
      </c>
      <c r="C24" s="2" t="inlineStr">
        <is>
          <t>cropped_colonies\HS19\HS19(뒤)-1__colony01.jpg</t>
        </is>
      </c>
      <c r="D24" s="2" t="inlineStr">
        <is>
          <t>Colony picture (1)\Colony picture\HS19\HS19(뒤)-1.jpg</t>
        </is>
      </c>
      <c r="E24" s="2" t="n">
        <v>7.225</v>
      </c>
      <c r="F24" s="2" t="n">
        <v>0.884</v>
      </c>
      <c r="G24" s="2" t="n">
        <v>0.976</v>
      </c>
      <c r="H24" s="2" t="n">
        <v>44.731</v>
      </c>
      <c r="I24" s="2" t="n">
        <v>121.558</v>
      </c>
      <c r="J24" s="2" t="n">
        <v>73.30800000000001</v>
      </c>
      <c r="K24" s="2" t="n">
        <v>1.57</v>
      </c>
      <c r="L24" s="2" t="n">
        <v>54.657</v>
      </c>
      <c r="M24" s="2" t="n">
        <v>20.599</v>
      </c>
      <c r="N24" s="2" t="n">
        <v>21.17</v>
      </c>
    </row>
    <row r="25">
      <c r="A25" s="3" t="inlineStr">
        <is>
          <t>HS19</t>
        </is>
      </c>
      <c r="B25" s="3" t="inlineStr">
        <is>
          <t>HS19_plate1</t>
        </is>
      </c>
      <c r="C25" s="3" t="inlineStr">
        <is>
          <t>cropped_colonies\HS19\HS19(뒤)-1__colony02.jpg</t>
        </is>
      </c>
      <c r="D25" s="3" t="inlineStr">
        <is>
          <t>Colony picture (1)\Colony picture\HS19\HS19(뒤)-1.jpg</t>
        </is>
      </c>
      <c r="E25" s="3" t="n">
        <v>28.691</v>
      </c>
      <c r="F25" s="3" t="n">
        <v>0.869</v>
      </c>
      <c r="G25" s="3" t="n">
        <v>0.971</v>
      </c>
      <c r="H25" s="3" t="n">
        <v>51.255</v>
      </c>
      <c r="I25" s="3" t="n">
        <v>155.975</v>
      </c>
      <c r="J25" s="3" t="n">
        <v>49.599</v>
      </c>
      <c r="K25" s="3" t="n">
        <v>10.491</v>
      </c>
      <c r="L25" s="3" t="n">
        <v>64.736</v>
      </c>
      <c r="M25" s="3" t="n">
        <v>34.048</v>
      </c>
      <c r="N25" s="3" t="n">
        <v>32.423</v>
      </c>
    </row>
    <row r="26">
      <c r="A26" s="2" t="inlineStr">
        <is>
          <t>HS19</t>
        </is>
      </c>
      <c r="B26" s="2" t="inlineStr">
        <is>
          <t>HS19_plate1</t>
        </is>
      </c>
      <c r="C26" s="2" t="inlineStr">
        <is>
          <t>cropped_colonies\HS19\HS19(뒤)-1__colony03.jpg</t>
        </is>
      </c>
      <c r="D26" s="2" t="inlineStr">
        <is>
          <t>Colony picture (1)\Colony picture\HS19\HS19(뒤)-1.jpg</t>
        </is>
      </c>
      <c r="E26" s="2" t="n">
        <v>28.823</v>
      </c>
      <c r="F26" s="2" t="n">
        <v>0.893</v>
      </c>
      <c r="G26" s="2" t="n">
        <v>0.983</v>
      </c>
      <c r="H26" s="2" t="n">
        <v>45.365</v>
      </c>
      <c r="I26" s="2" t="n">
        <v>175.658</v>
      </c>
      <c r="J26" s="2" t="n">
        <v>60.728</v>
      </c>
      <c r="K26" s="2" t="n">
        <v>6.083</v>
      </c>
      <c r="L26" s="2" t="n">
        <v>58.406</v>
      </c>
      <c r="M26" s="2" t="n">
        <v>38.788</v>
      </c>
      <c r="N26" s="2" t="n">
        <v>37.484</v>
      </c>
    </row>
    <row r="27">
      <c r="A27" s="3" t="inlineStr">
        <is>
          <t>HS19</t>
        </is>
      </c>
      <c r="B27" s="3" t="inlineStr">
        <is>
          <t>HS19_plate1</t>
        </is>
      </c>
      <c r="C27" s="3" t="inlineStr">
        <is>
          <t>cropped_colonies\HS19\HS19(뒤)-1__colony04.jpg</t>
        </is>
      </c>
      <c r="D27" s="3" t="inlineStr">
        <is>
          <t>Colony picture (1)\Colony picture\HS19\HS19(뒤)-1.jpg</t>
        </is>
      </c>
      <c r="E27" s="3" t="n">
        <v>29.425</v>
      </c>
      <c r="F27" s="3" t="n">
        <v>0.888</v>
      </c>
      <c r="G27" s="3" t="n">
        <v>0.977</v>
      </c>
      <c r="H27" s="3" t="n">
        <v>48.863</v>
      </c>
      <c r="I27" s="3" t="n">
        <v>164.895</v>
      </c>
      <c r="J27" s="3" t="n">
        <v>53.268</v>
      </c>
      <c r="K27" s="3" t="n">
        <v>8.558</v>
      </c>
      <c r="L27" s="3" t="n">
        <v>60.265</v>
      </c>
      <c r="M27" s="3" t="n">
        <v>34.618</v>
      </c>
      <c r="N27" s="3" t="n">
        <v>33.411</v>
      </c>
    </row>
    <row r="28">
      <c r="A28" s="2" t="inlineStr">
        <is>
          <t>HS19</t>
        </is>
      </c>
      <c r="B28" s="2" t="inlineStr">
        <is>
          <t>HS19_plate1</t>
        </is>
      </c>
      <c r="C28" s="2" t="inlineStr">
        <is>
          <t>cropped_colonies\HS19\HS19(뒤)-1__colony05.jpg</t>
        </is>
      </c>
      <c r="D28" s="2" t="inlineStr">
        <is>
          <t>Colony picture (1)\Colony picture\HS19\HS19(뒤)-1.jpg</t>
        </is>
      </c>
      <c r="E28" s="2" t="n">
        <v>6.482</v>
      </c>
      <c r="F28" s="2" t="n">
        <v>0.884</v>
      </c>
      <c r="G28" s="2" t="n">
        <v>0.985</v>
      </c>
      <c r="H28" s="2" t="n">
        <v>39.364</v>
      </c>
      <c r="I28" s="2" t="n">
        <v>118.227</v>
      </c>
      <c r="J28" s="2" t="n">
        <v>104.227</v>
      </c>
      <c r="K28" s="2" t="n">
        <v>1.367</v>
      </c>
      <c r="L28" s="2" t="n">
        <v>39.786</v>
      </c>
      <c r="M28" s="2" t="n">
        <v>23.614</v>
      </c>
      <c r="N28" s="2" t="n">
        <v>24.106</v>
      </c>
    </row>
    <row r="29">
      <c r="A29" s="3" t="inlineStr">
        <is>
          <t>HS19</t>
        </is>
      </c>
      <c r="B29" s="3" t="inlineStr">
        <is>
          <t>HS19_plate1</t>
        </is>
      </c>
      <c r="C29" s="3" t="inlineStr">
        <is>
          <t>cropped_colonies\HS19\HS19(뒤)-1__colony06.jpg</t>
        </is>
      </c>
      <c r="D29" s="3" t="inlineStr">
        <is>
          <t>Colony picture (1)\Colony picture\HS19\HS19(뒤)-1.jpg</t>
        </is>
      </c>
      <c r="E29" s="3" t="n">
        <v>33.464</v>
      </c>
      <c r="F29" s="3" t="n">
        <v>0.889</v>
      </c>
      <c r="G29" s="3" t="n">
        <v>0.98</v>
      </c>
      <c r="H29" s="3" t="n">
        <v>48.287</v>
      </c>
      <c r="I29" s="3" t="n">
        <v>181.003</v>
      </c>
      <c r="J29" s="3" t="n">
        <v>53.654</v>
      </c>
      <c r="K29" s="3" t="n">
        <v>9.427</v>
      </c>
      <c r="L29" s="3" t="n">
        <v>58.7</v>
      </c>
      <c r="M29" s="3" t="n">
        <v>38.118</v>
      </c>
      <c r="N29" s="3" t="n">
        <v>36.448</v>
      </c>
    </row>
    <row r="30">
      <c r="A30" s="2" t="inlineStr">
        <is>
          <t>HS19</t>
        </is>
      </c>
      <c r="B30" s="2" t="inlineStr">
        <is>
          <t>HS19_plate1</t>
        </is>
      </c>
      <c r="C30" s="2" t="inlineStr">
        <is>
          <t>cropped_colonies\HS19\HS19(뒤)-1__colony07.jpg</t>
        </is>
      </c>
      <c r="D30" s="2" t="inlineStr">
        <is>
          <t>Colony picture (1)\Colony picture\HS19\HS19(뒤)-1.jpg</t>
        </is>
      </c>
      <c r="E30" s="2" t="n">
        <v>49.288</v>
      </c>
      <c r="F30" s="2" t="n">
        <v>0.799</v>
      </c>
      <c r="G30" s="2" t="n">
        <v>0.974</v>
      </c>
      <c r="H30" s="2" t="n">
        <v>54.029</v>
      </c>
      <c r="I30" s="2" t="n">
        <v>169.549</v>
      </c>
      <c r="J30" s="2" t="n">
        <v>42.457</v>
      </c>
      <c r="K30" s="2" t="n">
        <v>11.438</v>
      </c>
      <c r="L30" s="2" t="n">
        <v>57.174</v>
      </c>
      <c r="M30" s="2" t="n">
        <v>34.419</v>
      </c>
      <c r="N30" s="2" t="n">
        <v>32.529</v>
      </c>
    </row>
    <row r="31">
      <c r="A31" s="3" t="inlineStr">
        <is>
          <t>HS19</t>
        </is>
      </c>
      <c r="B31" s="3" t="inlineStr">
        <is>
          <t>HS19_plate1</t>
        </is>
      </c>
      <c r="C31" s="3" t="inlineStr">
        <is>
          <t>cropped_colonies\HS19\HS19(뒤)-1__colony08.jpg</t>
        </is>
      </c>
      <c r="D31" s="3" t="inlineStr">
        <is>
          <t>Colony picture (1)\Colony picture\HS19\HS19(뒤)-1.jpg</t>
        </is>
      </c>
      <c r="E31" s="3" t="n">
        <v>31.494</v>
      </c>
      <c r="F31" s="3" t="n">
        <v>0.889</v>
      </c>
      <c r="G31" s="3" t="n">
        <v>0.982</v>
      </c>
      <c r="H31" s="3" t="n">
        <v>48.56</v>
      </c>
      <c r="I31" s="3" t="n">
        <v>166.303</v>
      </c>
      <c r="J31" s="3" t="n">
        <v>52.018</v>
      </c>
      <c r="K31" s="3" t="n">
        <v>8.071</v>
      </c>
      <c r="L31" s="3" t="n">
        <v>59.44</v>
      </c>
      <c r="M31" s="3" t="n">
        <v>34.379</v>
      </c>
      <c r="N31" s="3" t="n">
        <v>33.073</v>
      </c>
    </row>
    <row r="32">
      <c r="A32" s="2" t="inlineStr">
        <is>
          <t>HS19</t>
        </is>
      </c>
      <c r="B32" s="2" t="inlineStr">
        <is>
          <t>HS19_plate3</t>
        </is>
      </c>
      <c r="C32" s="2" t="inlineStr">
        <is>
          <t>cropped_colonies\HS19\HS19(뒤)-3__colony01.jpg</t>
        </is>
      </c>
      <c r="D32" s="2" t="inlineStr">
        <is>
          <t>Colony picture (1)\Colony picture\HS19\HS19(뒤)-3.jpg</t>
        </is>
      </c>
      <c r="E32" s="2" t="n">
        <v>15.858</v>
      </c>
      <c r="F32" s="2" t="n">
        <v>0.306</v>
      </c>
      <c r="G32" s="2" t="n">
        <v>0.742</v>
      </c>
      <c r="H32" s="2" t="n">
        <v>76.783</v>
      </c>
      <c r="I32" s="2" t="n">
        <v>141.029</v>
      </c>
      <c r="J32" s="2" t="n">
        <v>41.579</v>
      </c>
      <c r="K32" s="2" t="n">
        <v>2.735</v>
      </c>
      <c r="L32" s="2" t="n">
        <v>53.929</v>
      </c>
      <c r="M32" s="2" t="n">
        <v>17.696</v>
      </c>
      <c r="N32" s="2" t="n">
        <v>17.537</v>
      </c>
    </row>
    <row r="33">
      <c r="A33" s="3" t="inlineStr">
        <is>
          <t>HS19</t>
        </is>
      </c>
      <c r="B33" s="3" t="inlineStr">
        <is>
          <t>HS19_plate1</t>
        </is>
      </c>
      <c r="C33" s="3" t="inlineStr">
        <is>
          <t>cropped_colonies\HS19\HS19(앞)-1__colony01.jpg</t>
        </is>
      </c>
      <c r="D33" s="3" t="inlineStr">
        <is>
          <t>Colony picture (1)\Colony picture\HS19\HS19(앞)-1.jpg</t>
        </is>
      </c>
      <c r="E33" s="3" t="n">
        <v>30.014</v>
      </c>
      <c r="F33" s="3" t="n">
        <v>0.883</v>
      </c>
      <c r="G33" s="3" t="n">
        <v>0.976</v>
      </c>
      <c r="H33" s="3" t="n">
        <v>55.201</v>
      </c>
      <c r="I33" s="3" t="n">
        <v>185.244</v>
      </c>
      <c r="J33" s="3" t="n">
        <v>41.609</v>
      </c>
      <c r="K33" s="3" t="n">
        <v>13.22</v>
      </c>
      <c r="L33" s="3" t="n">
        <v>59.143</v>
      </c>
      <c r="M33" s="3" t="n">
        <v>33.79</v>
      </c>
      <c r="N33" s="3" t="n">
        <v>32.256</v>
      </c>
    </row>
    <row r="34">
      <c r="A34" s="2" t="inlineStr">
        <is>
          <t>HS19</t>
        </is>
      </c>
      <c r="B34" s="2" t="inlineStr">
        <is>
          <t>HS19_plate1</t>
        </is>
      </c>
      <c r="C34" s="2" t="inlineStr">
        <is>
          <t>cropped_colonies\HS19\HS19(앞)-1__colony02.jpg</t>
        </is>
      </c>
      <c r="D34" s="2" t="inlineStr">
        <is>
          <t>Colony picture (1)\Colony picture\HS19\HS19(앞)-1.jpg</t>
        </is>
      </c>
      <c r="E34" s="2" t="n">
        <v>29.683</v>
      </c>
      <c r="F34" s="2" t="n">
        <v>0.904</v>
      </c>
      <c r="G34" s="2" t="n">
        <v>0.983</v>
      </c>
      <c r="H34" s="2" t="n">
        <v>49.011</v>
      </c>
      <c r="I34" s="2" t="n">
        <v>173.302</v>
      </c>
      <c r="J34" s="2" t="n">
        <v>58.071</v>
      </c>
      <c r="K34" s="2" t="n">
        <v>9.476000000000001</v>
      </c>
      <c r="L34" s="2" t="n">
        <v>51.964</v>
      </c>
      <c r="M34" s="2" t="n">
        <v>35.057</v>
      </c>
      <c r="N34" s="2" t="n">
        <v>34.466</v>
      </c>
    </row>
    <row r="35">
      <c r="A35" s="3" t="inlineStr">
        <is>
          <t>HS19</t>
        </is>
      </c>
      <c r="B35" s="3" t="inlineStr">
        <is>
          <t>HS19_plate1</t>
        </is>
      </c>
      <c r="C35" s="3" t="inlineStr">
        <is>
          <t>cropped_colonies\HS19\HS19(앞)-1__colony03.jpg</t>
        </is>
      </c>
      <c r="D35" s="3" t="inlineStr">
        <is>
          <t>Colony picture (1)\Colony picture\HS19\HS19(앞)-1.jpg</t>
        </is>
      </c>
      <c r="E35" s="3" t="n">
        <v>30.612</v>
      </c>
      <c r="F35" s="3" t="n">
        <v>0.888</v>
      </c>
      <c r="G35" s="3" t="n">
        <v>0.977</v>
      </c>
      <c r="H35" s="3" t="n">
        <v>51.572</v>
      </c>
      <c r="I35" s="3" t="n">
        <v>187.607</v>
      </c>
      <c r="J35" s="3" t="n">
        <v>47.197</v>
      </c>
      <c r="K35" s="3" t="n">
        <v>10.831</v>
      </c>
      <c r="L35" s="3" t="n">
        <v>56.475</v>
      </c>
      <c r="M35" s="3" t="n">
        <v>35.172</v>
      </c>
      <c r="N35" s="3" t="n">
        <v>34.004</v>
      </c>
    </row>
    <row r="36">
      <c r="A36" s="2" t="inlineStr">
        <is>
          <t>HS19</t>
        </is>
      </c>
      <c r="B36" s="2" t="inlineStr">
        <is>
          <t>HS19_plate1</t>
        </is>
      </c>
      <c r="C36" s="2" t="inlineStr">
        <is>
          <t>cropped_colonies\HS19\HS19(앞)-1__colony04.jpg</t>
        </is>
      </c>
      <c r="D36" s="2" t="inlineStr">
        <is>
          <t>Colony picture (1)\Colony picture\HS19\HS19(앞)-1.jpg</t>
        </is>
      </c>
      <c r="E36" s="2" t="n">
        <v>29.704</v>
      </c>
      <c r="F36" s="2" t="n">
        <v>0.89</v>
      </c>
      <c r="G36" s="2" t="n">
        <v>0.981</v>
      </c>
      <c r="H36" s="2" t="n">
        <v>49.394</v>
      </c>
      <c r="I36" s="2" t="n">
        <v>177.715</v>
      </c>
      <c r="J36" s="2" t="n">
        <v>55.224</v>
      </c>
      <c r="K36" s="2" t="n">
        <v>10.134</v>
      </c>
      <c r="L36" s="2" t="n">
        <v>53.333</v>
      </c>
      <c r="M36" s="2" t="n">
        <v>36.243</v>
      </c>
      <c r="N36" s="2" t="n">
        <v>35.249</v>
      </c>
    </row>
    <row r="37">
      <c r="A37" s="3" t="inlineStr">
        <is>
          <t>HS19</t>
        </is>
      </c>
      <c r="B37" s="3" t="inlineStr">
        <is>
          <t>HS19_plate1</t>
        </is>
      </c>
      <c r="C37" s="3" t="inlineStr">
        <is>
          <t>cropped_colonies\HS19\HS19(앞)-1__colony05.jpg</t>
        </is>
      </c>
      <c r="D37" s="3" t="inlineStr">
        <is>
          <t>Colony picture (1)\Colony picture\HS19\HS19(앞)-1.jpg</t>
        </is>
      </c>
      <c r="E37" s="3" t="n">
        <v>7.047</v>
      </c>
      <c r="F37" s="3" t="n">
        <v>0.902</v>
      </c>
      <c r="G37" s="3" t="n">
        <v>0.975</v>
      </c>
      <c r="H37" s="3" t="n">
        <v>42.4</v>
      </c>
      <c r="I37" s="3" t="n">
        <v>108.78</v>
      </c>
      <c r="J37" s="3" t="n">
        <v>104.24</v>
      </c>
      <c r="K37" s="3" t="n">
        <v>1.523</v>
      </c>
      <c r="L37" s="3" t="n">
        <v>41.432</v>
      </c>
      <c r="M37" s="3" t="n">
        <v>24.5</v>
      </c>
      <c r="N37" s="3" t="n">
        <v>25.21</v>
      </c>
    </row>
    <row r="38">
      <c r="A38" s="2" t="inlineStr">
        <is>
          <t>HS19</t>
        </is>
      </c>
      <c r="B38" s="2" t="inlineStr">
        <is>
          <t>HS19_plate1</t>
        </is>
      </c>
      <c r="C38" s="2" t="inlineStr">
        <is>
          <t>cropped_colonies\HS19\HS19(앞)-1__colony06.jpg</t>
        </is>
      </c>
      <c r="D38" s="2" t="inlineStr">
        <is>
          <t>Colony picture (1)\Colony picture\HS19\HS19(앞)-1.jpg</t>
        </is>
      </c>
      <c r="E38" s="2" t="n">
        <v>34.531</v>
      </c>
      <c r="F38" s="2" t="n">
        <v>0.887</v>
      </c>
      <c r="G38" s="2" t="n">
        <v>0.982</v>
      </c>
      <c r="H38" s="2" t="n">
        <v>50.564</v>
      </c>
      <c r="I38" s="2" t="n">
        <v>189.909</v>
      </c>
      <c r="J38" s="2" t="n">
        <v>50.28</v>
      </c>
      <c r="K38" s="2" t="n">
        <v>10.759</v>
      </c>
      <c r="L38" s="2" t="n">
        <v>54.977</v>
      </c>
      <c r="M38" s="2" t="n">
        <v>36.001</v>
      </c>
      <c r="N38" s="2" t="n">
        <v>34.999</v>
      </c>
    </row>
    <row r="39">
      <c r="A39" s="3" t="inlineStr">
        <is>
          <t>HS19</t>
        </is>
      </c>
      <c r="B39" s="3" t="inlineStr">
        <is>
          <t>HS19_plate1</t>
        </is>
      </c>
      <c r="C39" s="3" t="inlineStr">
        <is>
          <t>cropped_colonies\HS19\HS19(앞)-1__colony07.jpg</t>
        </is>
      </c>
      <c r="D39" s="3" t="inlineStr">
        <is>
          <t>Colony picture (1)\Colony picture\HS19\HS19(앞)-1.jpg</t>
        </is>
      </c>
      <c r="E39" s="3" t="n">
        <v>50.765</v>
      </c>
      <c r="F39" s="3" t="n">
        <v>0.792</v>
      </c>
      <c r="G39" s="3" t="n">
        <v>0.972</v>
      </c>
      <c r="H39" s="3" t="n">
        <v>57.398</v>
      </c>
      <c r="I39" s="3" t="n">
        <v>207.084</v>
      </c>
      <c r="J39" s="3" t="n">
        <v>32.647</v>
      </c>
      <c r="K39" s="3" t="n">
        <v>13.252</v>
      </c>
      <c r="L39" s="3" t="n">
        <v>52.602</v>
      </c>
      <c r="M39" s="3" t="n">
        <v>32.079</v>
      </c>
      <c r="N39" s="3" t="n">
        <v>30.086</v>
      </c>
    </row>
    <row r="40">
      <c r="A40" s="2" t="inlineStr">
        <is>
          <t>HS19</t>
        </is>
      </c>
      <c r="B40" s="2" t="inlineStr">
        <is>
          <t>HS19_plate1</t>
        </is>
      </c>
      <c r="C40" s="2" t="inlineStr">
        <is>
          <t>cropped_colonies\HS19\HS19(앞)-1__colony08.jpg</t>
        </is>
      </c>
      <c r="D40" s="2" t="inlineStr">
        <is>
          <t>Colony picture (1)\Colony picture\HS19\HS19(앞)-1.jpg</t>
        </is>
      </c>
      <c r="E40" s="2" t="n">
        <v>32.547</v>
      </c>
      <c r="F40" s="2" t="n">
        <v>0.881</v>
      </c>
      <c r="G40" s="2" t="n">
        <v>0.982</v>
      </c>
      <c r="H40" s="2" t="n">
        <v>52.501</v>
      </c>
      <c r="I40" s="2" t="n">
        <v>191.487</v>
      </c>
      <c r="J40" s="2" t="n">
        <v>45.064</v>
      </c>
      <c r="K40" s="2" t="n">
        <v>11.055</v>
      </c>
      <c r="L40" s="2" t="n">
        <v>52.489</v>
      </c>
      <c r="M40" s="2" t="n">
        <v>33.993</v>
      </c>
      <c r="N40" s="2" t="n">
        <v>32.703</v>
      </c>
    </row>
    <row r="41">
      <c r="A41" s="3" t="inlineStr">
        <is>
          <t>HS19</t>
        </is>
      </c>
      <c r="B41" s="3" t="inlineStr">
        <is>
          <t>HS19_plate1</t>
        </is>
      </c>
      <c r="C41" s="3" t="inlineStr">
        <is>
          <t>cropped_colonies\HS19\HS19(앞)-1__colony09.jpg</t>
        </is>
      </c>
      <c r="D41" s="3" t="inlineStr">
        <is>
          <t>Colony picture (1)\Colony picture\HS19\HS19(앞)-1.jpg</t>
        </is>
      </c>
      <c r="E41" s="3" t="n">
        <v>40.801</v>
      </c>
      <c r="F41" s="3" t="n">
        <v>0.882</v>
      </c>
      <c r="G41" s="3" t="n">
        <v>0.977</v>
      </c>
      <c r="H41" s="3" t="n">
        <v>55.69</v>
      </c>
      <c r="I41" s="3" t="n">
        <v>194.852</v>
      </c>
      <c r="J41" s="3" t="n">
        <v>36.775</v>
      </c>
      <c r="K41" s="3" t="n">
        <v>13.431</v>
      </c>
      <c r="L41" s="3" t="n">
        <v>53.075</v>
      </c>
      <c r="M41" s="3" t="n">
        <v>31.2</v>
      </c>
      <c r="N41" s="3" t="n">
        <v>29.634</v>
      </c>
    </row>
    <row r="42">
      <c r="A42" s="2" t="inlineStr">
        <is>
          <t>HS19</t>
        </is>
      </c>
      <c r="B42" s="2" t="inlineStr">
        <is>
          <t>HS19_plate2</t>
        </is>
      </c>
      <c r="C42" s="2" t="inlineStr">
        <is>
          <t>cropped_colonies\HS19\HS19(앞)-2__colony02.jpg</t>
        </is>
      </c>
      <c r="D42" s="2" t="inlineStr">
        <is>
          <t>Colony picture (1)\Colony picture\HS19\HS19(앞)-2.jpg</t>
        </is>
      </c>
      <c r="E42" s="2" t="n">
        <v>18.558</v>
      </c>
      <c r="F42" s="2" t="n">
        <v>0.101</v>
      </c>
      <c r="G42" s="2" t="n">
        <v>0.418</v>
      </c>
      <c r="H42" s="2" t="n">
        <v>69.765</v>
      </c>
      <c r="I42" s="2" t="n">
        <v>185.673</v>
      </c>
      <c r="J42" s="2" t="n">
        <v>29.911</v>
      </c>
      <c r="K42" s="2" t="n">
        <v>8.677</v>
      </c>
      <c r="L42" s="2" t="n">
        <v>66.77500000000001</v>
      </c>
      <c r="M42" s="2" t="n">
        <v>28.416</v>
      </c>
      <c r="N42" s="2" t="n">
        <v>27.015</v>
      </c>
    </row>
    <row r="43">
      <c r="A43" s="3" t="inlineStr">
        <is>
          <t>HS19</t>
        </is>
      </c>
      <c r="B43" s="3" t="inlineStr">
        <is>
          <t>HS19_plate2</t>
        </is>
      </c>
      <c r="C43" s="3" t="inlineStr">
        <is>
          <t>cropped_colonies\HS19\HS19(앞)-2__colony03.jpg</t>
        </is>
      </c>
      <c r="D43" s="3" t="inlineStr">
        <is>
          <t>Colony picture (1)\Colony picture\HS19\HS19(앞)-2.jpg</t>
        </is>
      </c>
      <c r="E43" s="3" t="n">
        <v>10.061</v>
      </c>
      <c r="F43" s="3" t="n">
        <v>0.79</v>
      </c>
      <c r="G43" s="3" t="n">
        <v>0.9350000000000001</v>
      </c>
      <c r="H43" s="3" t="n">
        <v>73.15600000000001</v>
      </c>
      <c r="I43" s="3" t="n">
        <v>142.083</v>
      </c>
      <c r="J43" s="3" t="n">
        <v>43.844</v>
      </c>
      <c r="K43" s="3" t="n">
        <v>5.415</v>
      </c>
      <c r="L43" s="3" t="n">
        <v>42.088</v>
      </c>
      <c r="M43" s="3" t="n">
        <v>17.5</v>
      </c>
      <c r="N43" s="3" t="n">
        <v>16.936</v>
      </c>
    </row>
    <row r="44">
      <c r="A44" s="2" t="inlineStr">
        <is>
          <t>HS19</t>
        </is>
      </c>
      <c r="B44" s="2" t="inlineStr">
        <is>
          <t>HS19_plate3</t>
        </is>
      </c>
      <c r="C44" s="2" t="inlineStr">
        <is>
          <t>cropped_colonies\HS19\HS19(앞)-3__colony01.jpg</t>
        </is>
      </c>
      <c r="D44" s="2" t="inlineStr">
        <is>
          <t>Colony picture (1)\Colony picture\HS19\HS19(앞)-3.jpg</t>
        </is>
      </c>
      <c r="E44" s="2" t="n">
        <v>10.124</v>
      </c>
      <c r="F44" s="2" t="n">
        <v>0.898</v>
      </c>
      <c r="G44" s="2" t="n">
        <v>0.976</v>
      </c>
      <c r="H44" s="2" t="n">
        <v>59.302</v>
      </c>
      <c r="I44" s="2" t="n">
        <v>88.46899999999999</v>
      </c>
      <c r="J44" s="2" t="n">
        <v>54.198</v>
      </c>
      <c r="K44" s="2" t="n">
        <v>2.955</v>
      </c>
      <c r="L44" s="2" t="n">
        <v>15.474</v>
      </c>
      <c r="M44" s="2" t="n">
        <v>11.626</v>
      </c>
      <c r="N44" s="2" t="n">
        <v>11.515</v>
      </c>
    </row>
    <row r="45">
      <c r="A45" s="3" t="inlineStr">
        <is>
          <t>HS19</t>
        </is>
      </c>
      <c r="B45" s="3" t="inlineStr">
        <is>
          <t>HS19_plate3</t>
        </is>
      </c>
      <c r="C45" s="3" t="inlineStr">
        <is>
          <t>cropped_colonies\HS19\HS19(앞)-3__colony02.jpg</t>
        </is>
      </c>
      <c r="D45" s="3" t="inlineStr">
        <is>
          <t>Colony picture (1)\Colony picture\HS19\HS19(앞)-3.jpg</t>
        </is>
      </c>
      <c r="E45" s="3" t="n">
        <v>15.43</v>
      </c>
      <c r="F45" s="3" t="n">
        <v>0.822</v>
      </c>
      <c r="G45" s="3" t="n">
        <v>0.954</v>
      </c>
      <c r="H45" s="3" t="n">
        <v>62.948</v>
      </c>
      <c r="I45" s="3" t="n">
        <v>85.886</v>
      </c>
      <c r="J45" s="3" t="n">
        <v>47.886</v>
      </c>
      <c r="K45" s="3" t="n">
        <v>11.638</v>
      </c>
      <c r="L45" s="3" t="n">
        <v>12.669</v>
      </c>
      <c r="M45" s="3" t="n">
        <v>14.142</v>
      </c>
      <c r="N45" s="3" t="n">
        <v>13.474</v>
      </c>
    </row>
    <row r="46">
      <c r="A46" s="2" t="inlineStr">
        <is>
          <t>HS2</t>
        </is>
      </c>
      <c r="B46" s="2" t="inlineStr">
        <is>
          <t>HS2_plate1</t>
        </is>
      </c>
      <c r="C46" s="2" t="inlineStr">
        <is>
          <t>cropped_colonies\HS2\HS2(뒤)-1__colony01.jpg</t>
        </is>
      </c>
      <c r="D46" s="2" t="inlineStr">
        <is>
          <t>Colony picture (1)\Colony picture\HS2\HS2(뒤)-1.jpg</t>
        </is>
      </c>
      <c r="E46" s="2" t="n">
        <v>27.222</v>
      </c>
      <c r="F46" s="2" t="n">
        <v>0.878</v>
      </c>
      <c r="G46" s="2" t="n">
        <v>0.975</v>
      </c>
      <c r="H46" s="2" t="n">
        <v>56.839</v>
      </c>
      <c r="I46" s="2" t="n">
        <v>170.912</v>
      </c>
      <c r="J46" s="2" t="n">
        <v>29.699</v>
      </c>
      <c r="K46" s="2" t="n">
        <v>10.439</v>
      </c>
      <c r="L46" s="2" t="n">
        <v>60.294</v>
      </c>
      <c r="M46" s="2" t="n">
        <v>22.65</v>
      </c>
      <c r="N46" s="2" t="n">
        <v>21.651</v>
      </c>
    </row>
    <row r="47">
      <c r="A47" s="3" t="inlineStr">
        <is>
          <t>HS2</t>
        </is>
      </c>
      <c r="B47" s="3" t="inlineStr">
        <is>
          <t>HS2_plate1</t>
        </is>
      </c>
      <c r="C47" s="3" t="inlineStr">
        <is>
          <t>cropped_colonies\HS2\HS2(뒤)-1__colony02.jpg</t>
        </is>
      </c>
      <c r="D47" s="3" t="inlineStr">
        <is>
          <t>Colony picture (1)\Colony picture\HS2\HS2(뒤)-1.jpg</t>
        </is>
      </c>
      <c r="E47" s="3" t="n">
        <v>25.37</v>
      </c>
      <c r="F47" s="3" t="n">
        <v>0.879</v>
      </c>
      <c r="G47" s="3" t="n">
        <v>0.972</v>
      </c>
      <c r="H47" s="3" t="n">
        <v>52.77</v>
      </c>
      <c r="I47" s="3" t="n">
        <v>172.497</v>
      </c>
      <c r="J47" s="3" t="n">
        <v>31.061</v>
      </c>
      <c r="K47" s="3" t="n">
        <v>9.573</v>
      </c>
      <c r="L47" s="3" t="n">
        <v>62.9</v>
      </c>
      <c r="M47" s="3" t="n">
        <v>25.361</v>
      </c>
      <c r="N47" s="3" t="n">
        <v>24.012</v>
      </c>
    </row>
    <row r="48">
      <c r="A48" s="2" t="inlineStr">
        <is>
          <t>HS2</t>
        </is>
      </c>
      <c r="B48" s="2" t="inlineStr">
        <is>
          <t>HS2_plate1</t>
        </is>
      </c>
      <c r="C48" s="2" t="inlineStr">
        <is>
          <t>cropped_colonies\HS2\HS2(뒤)-1__colony03.jpg</t>
        </is>
      </c>
      <c r="D48" s="2" t="inlineStr">
        <is>
          <t>Colony picture (1)\Colony picture\HS2\HS2(뒤)-1.jpg</t>
        </is>
      </c>
      <c r="E48" s="2" t="n">
        <v>31.925</v>
      </c>
      <c r="F48" s="2" t="n">
        <v>0.863</v>
      </c>
      <c r="G48" s="2" t="n">
        <v>0.977</v>
      </c>
      <c r="H48" s="2" t="n">
        <v>58.457</v>
      </c>
      <c r="I48" s="2" t="n">
        <v>176.378</v>
      </c>
      <c r="J48" s="2" t="n">
        <v>27.306</v>
      </c>
      <c r="K48" s="2" t="n">
        <v>15.398</v>
      </c>
      <c r="L48" s="2" t="n">
        <v>63.989</v>
      </c>
      <c r="M48" s="2" t="n">
        <v>24.253</v>
      </c>
      <c r="N48" s="2" t="n">
        <v>22.817</v>
      </c>
    </row>
    <row r="49">
      <c r="A49" s="3" t="inlineStr">
        <is>
          <t>HS2</t>
        </is>
      </c>
      <c r="B49" s="3" t="inlineStr">
        <is>
          <t>HS2_plate1</t>
        </is>
      </c>
      <c r="C49" s="3" t="inlineStr">
        <is>
          <t>cropped_colonies\HS2\HS2(뒤)-1__colony04.jpg</t>
        </is>
      </c>
      <c r="D49" s="3" t="inlineStr">
        <is>
          <t>Colony picture (1)\Colony picture\HS2\HS2(뒤)-1.jpg</t>
        </is>
      </c>
      <c r="E49" s="3" t="n">
        <v>31.107</v>
      </c>
      <c r="F49" s="3" t="n">
        <v>0.902</v>
      </c>
      <c r="G49" s="3" t="n">
        <v>0.981</v>
      </c>
      <c r="H49" s="3" t="n">
        <v>54.639</v>
      </c>
      <c r="I49" s="3" t="n">
        <v>179.822</v>
      </c>
      <c r="J49" s="3" t="n">
        <v>32.153</v>
      </c>
      <c r="K49" s="3" t="n">
        <v>10.241</v>
      </c>
      <c r="L49" s="3" t="n">
        <v>57.793</v>
      </c>
      <c r="M49" s="3" t="n">
        <v>23.481</v>
      </c>
      <c r="N49" s="3" t="n">
        <v>22.093</v>
      </c>
    </row>
    <row r="50">
      <c r="A50" s="2" t="inlineStr">
        <is>
          <t>HS2</t>
        </is>
      </c>
      <c r="B50" s="2" t="inlineStr">
        <is>
          <t>HS2_plate3</t>
        </is>
      </c>
      <c r="C50" s="2" t="inlineStr">
        <is>
          <t>cropped_colonies\HS2\HS2(뒤)-3__colony01.jpg</t>
        </is>
      </c>
      <c r="D50" s="2" t="inlineStr">
        <is>
          <t>Colony picture (1)\Colony picture\HS2\HS2(뒤)-3.jpg</t>
        </is>
      </c>
      <c r="E50" s="2" t="n">
        <v>10.495</v>
      </c>
      <c r="F50" s="2" t="n">
        <v>0.86</v>
      </c>
      <c r="G50" s="2" t="n">
        <v>0.966</v>
      </c>
      <c r="H50" s="2" t="n">
        <v>68.553</v>
      </c>
      <c r="I50" s="2" t="n">
        <v>120.534</v>
      </c>
      <c r="J50" s="2" t="n">
        <v>50.34</v>
      </c>
      <c r="K50" s="2" t="n">
        <v>5.91</v>
      </c>
      <c r="L50" s="2" t="n">
        <v>38.802</v>
      </c>
      <c r="M50" s="2" t="n">
        <v>25.504</v>
      </c>
      <c r="N50" s="2" t="n">
        <v>24.444</v>
      </c>
    </row>
    <row r="51">
      <c r="A51" s="3" t="inlineStr">
        <is>
          <t>HS2</t>
        </is>
      </c>
      <c r="B51" s="3" t="inlineStr">
        <is>
          <t>HS2_plate3</t>
        </is>
      </c>
      <c r="C51" s="3" t="inlineStr">
        <is>
          <t>cropped_colonies\HS2\HS2(뒤)-3__colony02.jpg</t>
        </is>
      </c>
      <c r="D51" s="3" t="inlineStr">
        <is>
          <t>Colony picture (1)\Colony picture\HS2\HS2(뒤)-3.jpg</t>
        </is>
      </c>
      <c r="E51" s="3" t="n">
        <v>11.34</v>
      </c>
      <c r="F51" s="3" t="n">
        <v>0.872</v>
      </c>
      <c r="G51" s="3" t="n">
        <v>0.971</v>
      </c>
      <c r="H51" s="3" t="n">
        <v>65.294</v>
      </c>
      <c r="I51" s="3" t="n">
        <v>116.966</v>
      </c>
      <c r="J51" s="3" t="n">
        <v>47.059</v>
      </c>
      <c r="K51" s="3" t="n">
        <v>4.846</v>
      </c>
      <c r="L51" s="3" t="n">
        <v>33.119</v>
      </c>
      <c r="M51" s="3" t="n">
        <v>22.635</v>
      </c>
      <c r="N51" s="3" t="n">
        <v>21.649</v>
      </c>
    </row>
    <row r="52">
      <c r="A52" s="2" t="inlineStr">
        <is>
          <t>HS2</t>
        </is>
      </c>
      <c r="B52" s="2" t="inlineStr">
        <is>
          <t>HS2_plate1</t>
        </is>
      </c>
      <c r="C52" s="2" t="inlineStr">
        <is>
          <t>cropped_colonies\HS2\HS2(앞)-1__colony01.jpg</t>
        </is>
      </c>
      <c r="D52" s="2" t="inlineStr">
        <is>
          <t>Colony picture (1)\Colony picture\HS2\HS2(앞)-1.jpg</t>
        </is>
      </c>
      <c r="E52" s="2" t="n">
        <v>28.89</v>
      </c>
      <c r="F52" s="2" t="n">
        <v>0.86</v>
      </c>
      <c r="G52" s="2" t="n">
        <v>0.973</v>
      </c>
      <c r="H52" s="2" t="n">
        <v>65.43600000000001</v>
      </c>
      <c r="I52" s="2" t="n">
        <v>173.979</v>
      </c>
      <c r="J52" s="2" t="n">
        <v>28.233</v>
      </c>
      <c r="K52" s="2" t="n">
        <v>12.794</v>
      </c>
      <c r="L52" s="2" t="n">
        <v>56.837</v>
      </c>
      <c r="M52" s="2" t="n">
        <v>19.715</v>
      </c>
      <c r="N52" s="2" t="n">
        <v>18.385</v>
      </c>
    </row>
    <row r="53">
      <c r="A53" s="3" t="inlineStr">
        <is>
          <t>HS2</t>
        </is>
      </c>
      <c r="B53" s="3" t="inlineStr">
        <is>
          <t>HS2_plate1</t>
        </is>
      </c>
      <c r="C53" s="3" t="inlineStr">
        <is>
          <t>cropped_colonies\HS2\HS2(앞)-1__colony02.jpg</t>
        </is>
      </c>
      <c r="D53" s="3" t="inlineStr">
        <is>
          <t>Colony picture (1)\Colony picture\HS2\HS2(앞)-1.jpg</t>
        </is>
      </c>
      <c r="E53" s="3" t="n">
        <v>26.714</v>
      </c>
      <c r="F53" s="3" t="n">
        <v>0.873</v>
      </c>
      <c r="G53" s="3" t="n">
        <v>0.975</v>
      </c>
      <c r="H53" s="3" t="n">
        <v>60.068</v>
      </c>
      <c r="I53" s="3" t="n">
        <v>177.203</v>
      </c>
      <c r="J53" s="3" t="n">
        <v>29.592</v>
      </c>
      <c r="K53" s="3" t="n">
        <v>10.992</v>
      </c>
      <c r="L53" s="3" t="n">
        <v>57.639</v>
      </c>
      <c r="M53" s="3" t="n">
        <v>19.752</v>
      </c>
      <c r="N53" s="3" t="n">
        <v>18.753</v>
      </c>
    </row>
    <row r="54">
      <c r="A54" s="2" t="inlineStr">
        <is>
          <t>HS2</t>
        </is>
      </c>
      <c r="B54" s="2" t="inlineStr">
        <is>
          <t>HS2_plate1</t>
        </is>
      </c>
      <c r="C54" s="2" t="inlineStr">
        <is>
          <t>cropped_colonies\HS2\HS2(앞)-1__colony03.jpg</t>
        </is>
      </c>
      <c r="D54" s="2" t="inlineStr">
        <is>
          <t>Colony picture (1)\Colony picture\HS2\HS2(앞)-1.jpg</t>
        </is>
      </c>
      <c r="E54" s="2" t="n">
        <v>31.725</v>
      </c>
      <c r="F54" s="2" t="n">
        <v>0.893</v>
      </c>
      <c r="G54" s="2" t="n">
        <v>0.981</v>
      </c>
      <c r="H54" s="2" t="n">
        <v>67.875</v>
      </c>
      <c r="I54" s="2" t="n">
        <v>160.92</v>
      </c>
      <c r="J54" s="2" t="n">
        <v>32.424</v>
      </c>
      <c r="K54" s="2" t="n">
        <v>14.548</v>
      </c>
      <c r="L54" s="2" t="n">
        <v>54.952</v>
      </c>
      <c r="M54" s="2" t="n">
        <v>16.892</v>
      </c>
      <c r="N54" s="2" t="n">
        <v>16.109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45" customWidth="1" min="4" max="4"/>
    <col width="45" customWidth="1" min="5" max="5"/>
    <col width="23" customWidth="1" min="6" max="6"/>
    <col width="45" customWidth="1" min="7" max="7"/>
  </cols>
  <sheetData>
    <row r="1">
      <c r="A1" s="1" t="inlineStr">
        <is>
          <t>strain</t>
        </is>
      </c>
      <c r="B1" s="1" t="inlineStr">
        <is>
          <t>feature</t>
        </is>
      </c>
      <c r="C1" s="1" t="inlineStr">
        <is>
          <t>n</t>
        </is>
      </c>
      <c r="D1" s="1" t="inlineStr">
        <is>
          <t>sum_x</t>
        </is>
      </c>
      <c r="E1" s="1" t="inlineStr">
        <is>
          <t>sum_x2</t>
        </is>
      </c>
      <c r="F1" s="1" t="inlineStr">
        <is>
          <t>mean</t>
        </is>
      </c>
      <c r="G1" s="1" t="inlineStr">
        <is>
          <t>std</t>
        </is>
      </c>
    </row>
    <row r="2">
      <c r="A2" s="2" t="inlineStr">
        <is>
          <t>HS2</t>
        </is>
      </c>
      <c r="B2" s="2" t="inlineStr">
        <is>
          <t>equiv_diameter</t>
        </is>
      </c>
      <c r="C2" s="2">
        <f>SUMPRODUCT(('Colony Data'!$A$2:$A$54=$A2)*1)</f>
        <v/>
      </c>
      <c r="D2" s="2">
        <f>SUMPRODUCT(('Colony Data'!$A$2:$A$54=$A2)*('Colony Data'!$E$2:$E$54))</f>
        <v/>
      </c>
      <c r="E2" s="2">
        <f>SUMPRODUCT(('Colony Data'!$A$2:$A$54=$A2)*('Colony Data'!$E$2:$E$54)^2)</f>
        <v/>
      </c>
      <c r="F2" s="2">
        <f>IF(C2=0,"",D2/C2)</f>
        <v/>
      </c>
      <c r="G2" s="2">
        <f>IF(C2&lt;=1,"",SQRT((E2-(D2^2)/C2)/(C2-1)))</f>
        <v/>
      </c>
    </row>
    <row r="3">
      <c r="A3" s="3" t="inlineStr">
        <is>
          <t>HS2</t>
        </is>
      </c>
      <c r="B3" s="3" t="inlineStr">
        <is>
          <t>circularity</t>
        </is>
      </c>
      <c r="C3" s="3">
        <f>SUMPRODUCT(('Colony Data'!$A$2:$A$54=$A3)*1)</f>
        <v/>
      </c>
      <c r="D3" s="3">
        <f>SUMPRODUCT(('Colony Data'!$A$2:$A$54=$A3)*('Colony Data'!$F$2:$F$54))</f>
        <v/>
      </c>
      <c r="E3" s="3">
        <f>SUMPRODUCT(('Colony Data'!$A$2:$A$54=$A3)*('Colony Data'!$F$2:$F$54)^2)</f>
        <v/>
      </c>
      <c r="F3" s="3">
        <f>IF(C3=0,"",D3/C3)</f>
        <v/>
      </c>
      <c r="G3" s="3">
        <f>IF(C3&lt;=1,"",SQRT((E3-(D3^2)/C3)/(C3-1)))</f>
        <v/>
      </c>
    </row>
    <row r="4">
      <c r="A4" s="2" t="inlineStr">
        <is>
          <t>HS2</t>
        </is>
      </c>
      <c r="B4" s="2" t="inlineStr">
        <is>
          <t>solidity</t>
        </is>
      </c>
      <c r="C4" s="2">
        <f>SUMPRODUCT(('Colony Data'!$A$2:$A$54=$A4)*1)</f>
        <v/>
      </c>
      <c r="D4" s="2">
        <f>SUMPRODUCT(('Colony Data'!$A$2:$A$54=$A4)*('Colony Data'!$G$2:$G$54))</f>
        <v/>
      </c>
      <c r="E4" s="2">
        <f>SUMPRODUCT(('Colony Data'!$A$2:$A$54=$A4)*('Colony Data'!$G$2:$G$54)^2)</f>
        <v/>
      </c>
      <c r="F4" s="2">
        <f>IF(C4=0,"",D4/C4)</f>
        <v/>
      </c>
      <c r="G4" s="2">
        <f>IF(C4&lt;=1,"",SQRT((E4-(D4^2)/C4)/(C4-1)))</f>
        <v/>
      </c>
    </row>
    <row r="5">
      <c r="A5" s="3" t="inlineStr">
        <is>
          <t>HS2</t>
        </is>
      </c>
      <c r="B5" s="3" t="inlineStr">
        <is>
          <t>mean_hue</t>
        </is>
      </c>
      <c r="C5" s="3">
        <f>SUMPRODUCT(('Colony Data'!$A$2:$A$54=$A5)*1)</f>
        <v/>
      </c>
      <c r="D5" s="3">
        <f>SUMPRODUCT(('Colony Data'!$A$2:$A$54=$A5)*('Colony Data'!$H$2:$H$54))</f>
        <v/>
      </c>
      <c r="E5" s="3">
        <f>SUMPRODUCT(('Colony Data'!$A$2:$A$54=$A5)*('Colony Data'!$H$2:$H$54)^2)</f>
        <v/>
      </c>
      <c r="F5" s="3">
        <f>IF(C5=0,"",D5/C5)</f>
        <v/>
      </c>
      <c r="G5" s="3">
        <f>IF(C5&lt;=1,"",SQRT((E5-(D5^2)/C5)/(C5-1)))</f>
        <v/>
      </c>
    </row>
    <row r="6">
      <c r="A6" s="2" t="inlineStr">
        <is>
          <t>HS2</t>
        </is>
      </c>
      <c r="B6" s="2" t="inlineStr">
        <is>
          <t>mean_sat</t>
        </is>
      </c>
      <c r="C6" s="2">
        <f>SUMPRODUCT(('Colony Data'!$A$2:$A$54=$A6)*1)</f>
        <v/>
      </c>
      <c r="D6" s="2">
        <f>SUMPRODUCT(('Colony Data'!$A$2:$A$54=$A6)*('Colony Data'!$I$2:$I$54))</f>
        <v/>
      </c>
      <c r="E6" s="2">
        <f>SUMPRODUCT(('Colony Data'!$A$2:$A$54=$A6)*('Colony Data'!$I$2:$I$54)^2)</f>
        <v/>
      </c>
      <c r="F6" s="2">
        <f>IF(C6=0,"",D6/C6)</f>
        <v/>
      </c>
      <c r="G6" s="2">
        <f>IF(C6&lt;=1,"",SQRT((E6-(D6^2)/C6)/(C6-1)))</f>
        <v/>
      </c>
    </row>
    <row r="7">
      <c r="A7" s="3" t="inlineStr">
        <is>
          <t>HS2</t>
        </is>
      </c>
      <c r="B7" s="3" t="inlineStr">
        <is>
          <t>mean_val</t>
        </is>
      </c>
      <c r="C7" s="3">
        <f>SUMPRODUCT(('Colony Data'!$A$2:$A$54=$A7)*1)</f>
        <v/>
      </c>
      <c r="D7" s="3">
        <f>SUMPRODUCT(('Colony Data'!$A$2:$A$54=$A7)*('Colony Data'!$J$2:$J$54))</f>
        <v/>
      </c>
      <c r="E7" s="3">
        <f>SUMPRODUCT(('Colony Data'!$A$2:$A$54=$A7)*('Colony Data'!$J$2:$J$54)^2)</f>
        <v/>
      </c>
      <c r="F7" s="3">
        <f>IF(C7=0,"",D7/C7)</f>
        <v/>
      </c>
      <c r="G7" s="3">
        <f>IF(C7&lt;=1,"",SQRT((E7-(D7^2)/C7)/(C7-1)))</f>
        <v/>
      </c>
    </row>
    <row r="8">
      <c r="A8" s="2" t="inlineStr">
        <is>
          <t>HS2</t>
        </is>
      </c>
      <c r="B8" s="2" t="inlineStr">
        <is>
          <t>std_hue</t>
        </is>
      </c>
      <c r="C8" s="2">
        <f>SUMPRODUCT(('Colony Data'!$A$2:$A$54=$A8)*1)</f>
        <v/>
      </c>
      <c r="D8" s="2">
        <f>SUMPRODUCT(('Colony Data'!$A$2:$A$54=$A8)*('Colony Data'!$K$2:$K$54))</f>
        <v/>
      </c>
      <c r="E8" s="2">
        <f>SUMPRODUCT(('Colony Data'!$A$2:$A$54=$A8)*('Colony Data'!$K$2:$K$54)^2)</f>
        <v/>
      </c>
      <c r="F8" s="2">
        <f>IF(C8=0,"",D8/C8)</f>
        <v/>
      </c>
      <c r="G8" s="2">
        <f>IF(C8&lt;=1,"",SQRT((E8-(D8^2)/C8)/(C8-1)))</f>
        <v/>
      </c>
    </row>
    <row r="9">
      <c r="A9" s="3" t="inlineStr">
        <is>
          <t>HS2</t>
        </is>
      </c>
      <c r="B9" s="3" t="inlineStr">
        <is>
          <t>std_sat</t>
        </is>
      </c>
      <c r="C9" s="3">
        <f>SUMPRODUCT(('Colony Data'!$A$2:$A$54=$A9)*1)</f>
        <v/>
      </c>
      <c r="D9" s="3">
        <f>SUMPRODUCT(('Colony Data'!$A$2:$A$54=$A9)*('Colony Data'!$L$2:$L$54))</f>
        <v/>
      </c>
      <c r="E9" s="3">
        <f>SUMPRODUCT(('Colony Data'!$A$2:$A$54=$A9)*('Colony Data'!$L$2:$L$54)^2)</f>
        <v/>
      </c>
      <c r="F9" s="3">
        <f>IF(C9=0,"",D9/C9)</f>
        <v/>
      </c>
      <c r="G9" s="3">
        <f>IF(C9&lt;=1,"",SQRT((E9-(D9^2)/C9)/(C9-1)))</f>
        <v/>
      </c>
    </row>
    <row r="10">
      <c r="A10" s="2" t="inlineStr">
        <is>
          <t>HS2</t>
        </is>
      </c>
      <c r="B10" s="2" t="inlineStr">
        <is>
          <t>std_val</t>
        </is>
      </c>
      <c r="C10" s="2">
        <f>SUMPRODUCT(('Colony Data'!$A$2:$A$54=$A10)*1)</f>
        <v/>
      </c>
      <c r="D10" s="2">
        <f>SUMPRODUCT(('Colony Data'!$A$2:$A$54=$A10)*('Colony Data'!$M$2:$M$54))</f>
        <v/>
      </c>
      <c r="E10" s="2">
        <f>SUMPRODUCT(('Colony Data'!$A$2:$A$54=$A10)*('Colony Data'!$M$2:$M$54)^2)</f>
        <v/>
      </c>
      <c r="F10" s="2">
        <f>IF(C10=0,"",D10/C10)</f>
        <v/>
      </c>
      <c r="G10" s="2">
        <f>IF(C10&lt;=1,"",SQRT((E10-(D10^2)/C10)/(C10-1)))</f>
        <v/>
      </c>
    </row>
    <row r="11">
      <c r="A11" s="3" t="inlineStr">
        <is>
          <t>HS2</t>
        </is>
      </c>
      <c r="B11" s="3" t="inlineStr">
        <is>
          <t>texture_std</t>
        </is>
      </c>
      <c r="C11" s="3">
        <f>SUMPRODUCT(('Colony Data'!$A$2:$A$54=$A11)*1)</f>
        <v/>
      </c>
      <c r="D11" s="3">
        <f>SUMPRODUCT(('Colony Data'!$A$2:$A$54=$A11)*('Colony Data'!$N$2:$N$54))</f>
        <v/>
      </c>
      <c r="E11" s="3">
        <f>SUMPRODUCT(('Colony Data'!$A$2:$A$54=$A11)*('Colony Data'!$N$2:$N$54)^2)</f>
        <v/>
      </c>
      <c r="F11" s="3">
        <f>IF(C11=0,"",D11/C11)</f>
        <v/>
      </c>
      <c r="G11" s="3">
        <f>IF(C11&lt;=1,"",SQRT((E11-(D11^2)/C11)/(C11-1)))</f>
        <v/>
      </c>
    </row>
    <row r="12">
      <c r="A12" s="2" t="inlineStr">
        <is>
          <t>ALE</t>
        </is>
      </c>
      <c r="B12" s="2" t="inlineStr">
        <is>
          <t>equiv_diameter</t>
        </is>
      </c>
      <c r="C12" s="2">
        <f>SUMPRODUCT(('Colony Data'!$A$2:$A$54=$A12)*1)</f>
        <v/>
      </c>
      <c r="D12" s="2">
        <f>SUMPRODUCT(('Colony Data'!$A$2:$A$54=$A12)*('Colony Data'!$E$2:$E$54))</f>
        <v/>
      </c>
      <c r="E12" s="2">
        <f>SUMPRODUCT(('Colony Data'!$A$2:$A$54=$A12)*('Colony Data'!$E$2:$E$54)^2)</f>
        <v/>
      </c>
      <c r="F12" s="2">
        <f>IF(C12=0,"",D12/C12)</f>
        <v/>
      </c>
      <c r="G12" s="2">
        <f>IF(C12&lt;=1,"",SQRT((E12-(D12^2)/C12)/(C12-1)))</f>
        <v/>
      </c>
    </row>
    <row r="13">
      <c r="A13" s="3" t="inlineStr">
        <is>
          <t>ALE</t>
        </is>
      </c>
      <c r="B13" s="3" t="inlineStr">
        <is>
          <t>circularity</t>
        </is>
      </c>
      <c r="C13" s="3">
        <f>SUMPRODUCT(('Colony Data'!$A$2:$A$54=$A13)*1)</f>
        <v/>
      </c>
      <c r="D13" s="3">
        <f>SUMPRODUCT(('Colony Data'!$A$2:$A$54=$A13)*('Colony Data'!$F$2:$F$54))</f>
        <v/>
      </c>
      <c r="E13" s="3">
        <f>SUMPRODUCT(('Colony Data'!$A$2:$A$54=$A13)*('Colony Data'!$F$2:$F$54)^2)</f>
        <v/>
      </c>
      <c r="F13" s="3">
        <f>IF(C13=0,"",D13/C13)</f>
        <v/>
      </c>
      <c r="G13" s="3">
        <f>IF(C13&lt;=1,"",SQRT((E13-(D13^2)/C13)/(C13-1)))</f>
        <v/>
      </c>
    </row>
    <row r="14">
      <c r="A14" s="2" t="inlineStr">
        <is>
          <t>ALE</t>
        </is>
      </c>
      <c r="B14" s="2" t="inlineStr">
        <is>
          <t>solidity</t>
        </is>
      </c>
      <c r="C14" s="2">
        <f>SUMPRODUCT(('Colony Data'!$A$2:$A$54=$A14)*1)</f>
        <v/>
      </c>
      <c r="D14" s="2">
        <f>SUMPRODUCT(('Colony Data'!$A$2:$A$54=$A14)*('Colony Data'!$G$2:$G$54))</f>
        <v/>
      </c>
      <c r="E14" s="2">
        <f>SUMPRODUCT(('Colony Data'!$A$2:$A$54=$A14)*('Colony Data'!$G$2:$G$54)^2)</f>
        <v/>
      </c>
      <c r="F14" s="2">
        <f>IF(C14=0,"",D14/C14)</f>
        <v/>
      </c>
      <c r="G14" s="2">
        <f>IF(C14&lt;=1,"",SQRT((E14-(D14^2)/C14)/(C14-1)))</f>
        <v/>
      </c>
    </row>
    <row r="15">
      <c r="A15" s="3" t="inlineStr">
        <is>
          <t>ALE</t>
        </is>
      </c>
      <c r="B15" s="3" t="inlineStr">
        <is>
          <t>mean_hue</t>
        </is>
      </c>
      <c r="C15" s="3">
        <f>SUMPRODUCT(('Colony Data'!$A$2:$A$54=$A15)*1)</f>
        <v/>
      </c>
      <c r="D15" s="3">
        <f>SUMPRODUCT(('Colony Data'!$A$2:$A$54=$A15)*('Colony Data'!$H$2:$H$54))</f>
        <v/>
      </c>
      <c r="E15" s="3">
        <f>SUMPRODUCT(('Colony Data'!$A$2:$A$54=$A15)*('Colony Data'!$H$2:$H$54)^2)</f>
        <v/>
      </c>
      <c r="F15" s="3">
        <f>IF(C15=0,"",D15/C15)</f>
        <v/>
      </c>
      <c r="G15" s="3">
        <f>IF(C15&lt;=1,"",SQRT((E15-(D15^2)/C15)/(C15-1)))</f>
        <v/>
      </c>
    </row>
    <row r="16">
      <c r="A16" s="2" t="inlineStr">
        <is>
          <t>ALE</t>
        </is>
      </c>
      <c r="B16" s="2" t="inlineStr">
        <is>
          <t>mean_sat</t>
        </is>
      </c>
      <c r="C16" s="2">
        <f>SUMPRODUCT(('Colony Data'!$A$2:$A$54=$A16)*1)</f>
        <v/>
      </c>
      <c r="D16" s="2">
        <f>SUMPRODUCT(('Colony Data'!$A$2:$A$54=$A16)*('Colony Data'!$I$2:$I$54))</f>
        <v/>
      </c>
      <c r="E16" s="2">
        <f>SUMPRODUCT(('Colony Data'!$A$2:$A$54=$A16)*('Colony Data'!$I$2:$I$54)^2)</f>
        <v/>
      </c>
      <c r="F16" s="2">
        <f>IF(C16=0,"",D16/C16)</f>
        <v/>
      </c>
      <c r="G16" s="2">
        <f>IF(C16&lt;=1,"",SQRT((E16-(D16^2)/C16)/(C16-1)))</f>
        <v/>
      </c>
    </row>
    <row r="17">
      <c r="A17" s="3" t="inlineStr">
        <is>
          <t>ALE</t>
        </is>
      </c>
      <c r="B17" s="3" t="inlineStr">
        <is>
          <t>mean_val</t>
        </is>
      </c>
      <c r="C17" s="3">
        <f>SUMPRODUCT(('Colony Data'!$A$2:$A$54=$A17)*1)</f>
        <v/>
      </c>
      <c r="D17" s="3">
        <f>SUMPRODUCT(('Colony Data'!$A$2:$A$54=$A17)*('Colony Data'!$J$2:$J$54))</f>
        <v/>
      </c>
      <c r="E17" s="3">
        <f>SUMPRODUCT(('Colony Data'!$A$2:$A$54=$A17)*('Colony Data'!$J$2:$J$54)^2)</f>
        <v/>
      </c>
      <c r="F17" s="3">
        <f>IF(C17=0,"",D17/C17)</f>
        <v/>
      </c>
      <c r="G17" s="3">
        <f>IF(C17&lt;=1,"",SQRT((E17-(D17^2)/C17)/(C17-1)))</f>
        <v/>
      </c>
    </row>
    <row r="18">
      <c r="A18" s="2" t="inlineStr">
        <is>
          <t>ALE</t>
        </is>
      </c>
      <c r="B18" s="2" t="inlineStr">
        <is>
          <t>std_hue</t>
        </is>
      </c>
      <c r="C18" s="2">
        <f>SUMPRODUCT(('Colony Data'!$A$2:$A$54=$A18)*1)</f>
        <v/>
      </c>
      <c r="D18" s="2">
        <f>SUMPRODUCT(('Colony Data'!$A$2:$A$54=$A18)*('Colony Data'!$K$2:$K$54))</f>
        <v/>
      </c>
      <c r="E18" s="2">
        <f>SUMPRODUCT(('Colony Data'!$A$2:$A$54=$A18)*('Colony Data'!$K$2:$K$54)^2)</f>
        <v/>
      </c>
      <c r="F18" s="2">
        <f>IF(C18=0,"",D18/C18)</f>
        <v/>
      </c>
      <c r="G18" s="2">
        <f>IF(C18&lt;=1,"",SQRT((E18-(D18^2)/C18)/(C18-1)))</f>
        <v/>
      </c>
    </row>
    <row r="19">
      <c r="A19" s="3" t="inlineStr">
        <is>
          <t>ALE</t>
        </is>
      </c>
      <c r="B19" s="3" t="inlineStr">
        <is>
          <t>std_sat</t>
        </is>
      </c>
      <c r="C19" s="3">
        <f>SUMPRODUCT(('Colony Data'!$A$2:$A$54=$A19)*1)</f>
        <v/>
      </c>
      <c r="D19" s="3">
        <f>SUMPRODUCT(('Colony Data'!$A$2:$A$54=$A19)*('Colony Data'!$L$2:$L$54))</f>
        <v/>
      </c>
      <c r="E19" s="3">
        <f>SUMPRODUCT(('Colony Data'!$A$2:$A$54=$A19)*('Colony Data'!$L$2:$L$54)^2)</f>
        <v/>
      </c>
      <c r="F19" s="3">
        <f>IF(C19=0,"",D19/C19)</f>
        <v/>
      </c>
      <c r="G19" s="3">
        <f>IF(C19&lt;=1,"",SQRT((E19-(D19^2)/C19)/(C19-1)))</f>
        <v/>
      </c>
    </row>
    <row r="20">
      <c r="A20" s="2" t="inlineStr">
        <is>
          <t>ALE</t>
        </is>
      </c>
      <c r="B20" s="2" t="inlineStr">
        <is>
          <t>std_val</t>
        </is>
      </c>
      <c r="C20" s="2">
        <f>SUMPRODUCT(('Colony Data'!$A$2:$A$54=$A20)*1)</f>
        <v/>
      </c>
      <c r="D20" s="2">
        <f>SUMPRODUCT(('Colony Data'!$A$2:$A$54=$A20)*('Colony Data'!$M$2:$M$54))</f>
        <v/>
      </c>
      <c r="E20" s="2">
        <f>SUMPRODUCT(('Colony Data'!$A$2:$A$54=$A20)*('Colony Data'!$M$2:$M$54)^2)</f>
        <v/>
      </c>
      <c r="F20" s="2">
        <f>IF(C20=0,"",D20/C20)</f>
        <v/>
      </c>
      <c r="G20" s="2">
        <f>IF(C20&lt;=1,"",SQRT((E20-(D20^2)/C20)/(C20-1)))</f>
        <v/>
      </c>
    </row>
    <row r="21">
      <c r="A21" s="3" t="inlineStr">
        <is>
          <t>ALE</t>
        </is>
      </c>
      <c r="B21" s="3" t="inlineStr">
        <is>
          <t>texture_std</t>
        </is>
      </c>
      <c r="C21" s="3">
        <f>SUMPRODUCT(('Colony Data'!$A$2:$A$54=$A21)*1)</f>
        <v/>
      </c>
      <c r="D21" s="3">
        <f>SUMPRODUCT(('Colony Data'!$A$2:$A$54=$A21)*('Colony Data'!$N$2:$N$54))</f>
        <v/>
      </c>
      <c r="E21" s="3">
        <f>SUMPRODUCT(('Colony Data'!$A$2:$A$54=$A21)*('Colony Data'!$N$2:$N$54)^2)</f>
        <v/>
      </c>
      <c r="F21" s="3">
        <f>IF(C21=0,"",D21/C21)</f>
        <v/>
      </c>
      <c r="G21" s="3">
        <f>IF(C21&lt;=1,"",SQRT((E21-(D21^2)/C21)/(C21-1)))</f>
        <v/>
      </c>
    </row>
    <row r="22">
      <c r="A22" s="2" t="inlineStr">
        <is>
          <t>HMF</t>
        </is>
      </c>
      <c r="B22" s="2" t="inlineStr">
        <is>
          <t>equiv_diameter</t>
        </is>
      </c>
      <c r="C22" s="2">
        <f>SUMPRODUCT(('Colony Data'!$A$2:$A$54=$A22)*1)</f>
        <v/>
      </c>
      <c r="D22" s="2">
        <f>SUMPRODUCT(('Colony Data'!$A$2:$A$54=$A22)*('Colony Data'!$E$2:$E$54))</f>
        <v/>
      </c>
      <c r="E22" s="2">
        <f>SUMPRODUCT(('Colony Data'!$A$2:$A$54=$A22)*('Colony Data'!$E$2:$E$54)^2)</f>
        <v/>
      </c>
      <c r="F22" s="2">
        <f>IF(C22=0,"",D22/C22)</f>
        <v/>
      </c>
      <c r="G22" s="2">
        <f>IF(C22&lt;=1,"",SQRT((E22-(D22^2)/C22)/(C22-1)))</f>
        <v/>
      </c>
    </row>
    <row r="23">
      <c r="A23" s="3" t="inlineStr">
        <is>
          <t>HMF</t>
        </is>
      </c>
      <c r="B23" s="3" t="inlineStr">
        <is>
          <t>circularity</t>
        </is>
      </c>
      <c r="C23" s="3">
        <f>SUMPRODUCT(('Colony Data'!$A$2:$A$54=$A23)*1)</f>
        <v/>
      </c>
      <c r="D23" s="3">
        <f>SUMPRODUCT(('Colony Data'!$A$2:$A$54=$A23)*('Colony Data'!$F$2:$F$54))</f>
        <v/>
      </c>
      <c r="E23" s="3">
        <f>SUMPRODUCT(('Colony Data'!$A$2:$A$54=$A23)*('Colony Data'!$F$2:$F$54)^2)</f>
        <v/>
      </c>
      <c r="F23" s="3">
        <f>IF(C23=0,"",D23/C23)</f>
        <v/>
      </c>
      <c r="G23" s="3">
        <f>IF(C23&lt;=1,"",SQRT((E23-(D23^2)/C23)/(C23-1)))</f>
        <v/>
      </c>
    </row>
    <row r="24">
      <c r="A24" s="2" t="inlineStr">
        <is>
          <t>HMF</t>
        </is>
      </c>
      <c r="B24" s="2" t="inlineStr">
        <is>
          <t>solidity</t>
        </is>
      </c>
      <c r="C24" s="2">
        <f>SUMPRODUCT(('Colony Data'!$A$2:$A$54=$A24)*1)</f>
        <v/>
      </c>
      <c r="D24" s="2">
        <f>SUMPRODUCT(('Colony Data'!$A$2:$A$54=$A24)*('Colony Data'!$G$2:$G$54))</f>
        <v/>
      </c>
      <c r="E24" s="2">
        <f>SUMPRODUCT(('Colony Data'!$A$2:$A$54=$A24)*('Colony Data'!$G$2:$G$54)^2)</f>
        <v/>
      </c>
      <c r="F24" s="2">
        <f>IF(C24=0,"",D24/C24)</f>
        <v/>
      </c>
      <c r="G24" s="2">
        <f>IF(C24&lt;=1,"",SQRT((E24-(D24^2)/C24)/(C24-1)))</f>
        <v/>
      </c>
    </row>
    <row r="25">
      <c r="A25" s="3" t="inlineStr">
        <is>
          <t>HMF</t>
        </is>
      </c>
      <c r="B25" s="3" t="inlineStr">
        <is>
          <t>mean_hue</t>
        </is>
      </c>
      <c r="C25" s="3">
        <f>SUMPRODUCT(('Colony Data'!$A$2:$A$54=$A25)*1)</f>
        <v/>
      </c>
      <c r="D25" s="3">
        <f>SUMPRODUCT(('Colony Data'!$A$2:$A$54=$A25)*('Colony Data'!$H$2:$H$54))</f>
        <v/>
      </c>
      <c r="E25" s="3">
        <f>SUMPRODUCT(('Colony Data'!$A$2:$A$54=$A25)*('Colony Data'!$H$2:$H$54)^2)</f>
        <v/>
      </c>
      <c r="F25" s="3">
        <f>IF(C25=0,"",D25/C25)</f>
        <v/>
      </c>
      <c r="G25" s="3">
        <f>IF(C25&lt;=1,"",SQRT((E25-(D25^2)/C25)/(C25-1)))</f>
        <v/>
      </c>
    </row>
    <row r="26">
      <c r="A26" s="2" t="inlineStr">
        <is>
          <t>HMF</t>
        </is>
      </c>
      <c r="B26" s="2" t="inlineStr">
        <is>
          <t>mean_sat</t>
        </is>
      </c>
      <c r="C26" s="2">
        <f>SUMPRODUCT(('Colony Data'!$A$2:$A$54=$A26)*1)</f>
        <v/>
      </c>
      <c r="D26" s="2">
        <f>SUMPRODUCT(('Colony Data'!$A$2:$A$54=$A26)*('Colony Data'!$I$2:$I$54))</f>
        <v/>
      </c>
      <c r="E26" s="2">
        <f>SUMPRODUCT(('Colony Data'!$A$2:$A$54=$A26)*('Colony Data'!$I$2:$I$54)^2)</f>
        <v/>
      </c>
      <c r="F26" s="2">
        <f>IF(C26=0,"",D26/C26)</f>
        <v/>
      </c>
      <c r="G26" s="2">
        <f>IF(C26&lt;=1,"",SQRT((E26-(D26^2)/C26)/(C26-1)))</f>
        <v/>
      </c>
    </row>
    <row r="27">
      <c r="A27" s="3" t="inlineStr">
        <is>
          <t>HMF</t>
        </is>
      </c>
      <c r="B27" s="3" t="inlineStr">
        <is>
          <t>mean_val</t>
        </is>
      </c>
      <c r="C27" s="3">
        <f>SUMPRODUCT(('Colony Data'!$A$2:$A$54=$A27)*1)</f>
        <v/>
      </c>
      <c r="D27" s="3">
        <f>SUMPRODUCT(('Colony Data'!$A$2:$A$54=$A27)*('Colony Data'!$J$2:$J$54))</f>
        <v/>
      </c>
      <c r="E27" s="3">
        <f>SUMPRODUCT(('Colony Data'!$A$2:$A$54=$A27)*('Colony Data'!$J$2:$J$54)^2)</f>
        <v/>
      </c>
      <c r="F27" s="3">
        <f>IF(C27=0,"",D27/C27)</f>
        <v/>
      </c>
      <c r="G27" s="3">
        <f>IF(C27&lt;=1,"",SQRT((E27-(D27^2)/C27)/(C27-1)))</f>
        <v/>
      </c>
    </row>
    <row r="28">
      <c r="A28" s="2" t="inlineStr">
        <is>
          <t>HMF</t>
        </is>
      </c>
      <c r="B28" s="2" t="inlineStr">
        <is>
          <t>std_hue</t>
        </is>
      </c>
      <c r="C28" s="2">
        <f>SUMPRODUCT(('Colony Data'!$A$2:$A$54=$A28)*1)</f>
        <v/>
      </c>
      <c r="D28" s="2">
        <f>SUMPRODUCT(('Colony Data'!$A$2:$A$54=$A28)*('Colony Data'!$K$2:$K$54))</f>
        <v/>
      </c>
      <c r="E28" s="2">
        <f>SUMPRODUCT(('Colony Data'!$A$2:$A$54=$A28)*('Colony Data'!$K$2:$K$54)^2)</f>
        <v/>
      </c>
      <c r="F28" s="2">
        <f>IF(C28=0,"",D28/C28)</f>
        <v/>
      </c>
      <c r="G28" s="2">
        <f>IF(C28&lt;=1,"",SQRT((E28-(D28^2)/C28)/(C28-1)))</f>
        <v/>
      </c>
    </row>
    <row r="29">
      <c r="A29" s="3" t="inlineStr">
        <is>
          <t>HMF</t>
        </is>
      </c>
      <c r="B29" s="3" t="inlineStr">
        <is>
          <t>std_sat</t>
        </is>
      </c>
      <c r="C29" s="3">
        <f>SUMPRODUCT(('Colony Data'!$A$2:$A$54=$A29)*1)</f>
        <v/>
      </c>
      <c r="D29" s="3">
        <f>SUMPRODUCT(('Colony Data'!$A$2:$A$54=$A29)*('Colony Data'!$L$2:$L$54))</f>
        <v/>
      </c>
      <c r="E29" s="3">
        <f>SUMPRODUCT(('Colony Data'!$A$2:$A$54=$A29)*('Colony Data'!$L$2:$L$54)^2)</f>
        <v/>
      </c>
      <c r="F29" s="3">
        <f>IF(C29=0,"",D29/C29)</f>
        <v/>
      </c>
      <c r="G29" s="3">
        <f>IF(C29&lt;=1,"",SQRT((E29-(D29^2)/C29)/(C29-1)))</f>
        <v/>
      </c>
    </row>
    <row r="30">
      <c r="A30" s="2" t="inlineStr">
        <is>
          <t>HMF</t>
        </is>
      </c>
      <c r="B30" s="2" t="inlineStr">
        <is>
          <t>std_val</t>
        </is>
      </c>
      <c r="C30" s="2">
        <f>SUMPRODUCT(('Colony Data'!$A$2:$A$54=$A30)*1)</f>
        <v/>
      </c>
      <c r="D30" s="2">
        <f>SUMPRODUCT(('Colony Data'!$A$2:$A$54=$A30)*('Colony Data'!$M$2:$M$54))</f>
        <v/>
      </c>
      <c r="E30" s="2">
        <f>SUMPRODUCT(('Colony Data'!$A$2:$A$54=$A30)*('Colony Data'!$M$2:$M$54)^2)</f>
        <v/>
      </c>
      <c r="F30" s="2">
        <f>IF(C30=0,"",D30/C30)</f>
        <v/>
      </c>
      <c r="G30" s="2">
        <f>IF(C30&lt;=1,"",SQRT((E30-(D30^2)/C30)/(C30-1)))</f>
        <v/>
      </c>
    </row>
    <row r="31">
      <c r="A31" s="3" t="inlineStr">
        <is>
          <t>HMF</t>
        </is>
      </c>
      <c r="B31" s="3" t="inlineStr">
        <is>
          <t>texture_std</t>
        </is>
      </c>
      <c r="C31" s="3">
        <f>SUMPRODUCT(('Colony Data'!$A$2:$A$54=$A31)*1)</f>
        <v/>
      </c>
      <c r="D31" s="3">
        <f>SUMPRODUCT(('Colony Data'!$A$2:$A$54=$A31)*('Colony Data'!$N$2:$N$54))</f>
        <v/>
      </c>
      <c r="E31" s="3">
        <f>SUMPRODUCT(('Colony Data'!$A$2:$A$54=$A31)*('Colony Data'!$N$2:$N$54)^2)</f>
        <v/>
      </c>
      <c r="F31" s="3">
        <f>IF(C31=0,"",D31/C31)</f>
        <v/>
      </c>
      <c r="G31" s="3">
        <f>IF(C31&lt;=1,"",SQRT((E31-(D31^2)/C31)/(C31-1)))</f>
        <v/>
      </c>
    </row>
    <row r="32">
      <c r="A32" s="2" t="inlineStr">
        <is>
          <t>HS19</t>
        </is>
      </c>
      <c r="B32" s="2" t="inlineStr">
        <is>
          <t>equiv_diameter</t>
        </is>
      </c>
      <c r="C32" s="2">
        <f>SUMPRODUCT(('Colony Data'!$A$2:$A$54=$A32)*1)</f>
        <v/>
      </c>
      <c r="D32" s="2">
        <f>SUMPRODUCT(('Colony Data'!$A$2:$A$54=$A32)*('Colony Data'!$E$2:$E$54))</f>
        <v/>
      </c>
      <c r="E32" s="2">
        <f>SUMPRODUCT(('Colony Data'!$A$2:$A$54=$A32)*('Colony Data'!$E$2:$E$54)^2)</f>
        <v/>
      </c>
      <c r="F32" s="2">
        <f>IF(C32=0,"",D32/C32)</f>
        <v/>
      </c>
      <c r="G32" s="2">
        <f>IF(C32&lt;=1,"",SQRT((E32-(D32^2)/C32)/(C32-1)))</f>
        <v/>
      </c>
    </row>
    <row r="33">
      <c r="A33" s="3" t="inlineStr">
        <is>
          <t>HS19</t>
        </is>
      </c>
      <c r="B33" s="3" t="inlineStr">
        <is>
          <t>circularity</t>
        </is>
      </c>
      <c r="C33" s="3">
        <f>SUMPRODUCT(('Colony Data'!$A$2:$A$54=$A33)*1)</f>
        <v/>
      </c>
      <c r="D33" s="3">
        <f>SUMPRODUCT(('Colony Data'!$A$2:$A$54=$A33)*('Colony Data'!$F$2:$F$54))</f>
        <v/>
      </c>
      <c r="E33" s="3">
        <f>SUMPRODUCT(('Colony Data'!$A$2:$A$54=$A33)*('Colony Data'!$F$2:$F$54)^2)</f>
        <v/>
      </c>
      <c r="F33" s="3">
        <f>IF(C33=0,"",D33/C33)</f>
        <v/>
      </c>
      <c r="G33" s="3">
        <f>IF(C33&lt;=1,"",SQRT((E33-(D33^2)/C33)/(C33-1)))</f>
        <v/>
      </c>
    </row>
    <row r="34">
      <c r="A34" s="2" t="inlineStr">
        <is>
          <t>HS19</t>
        </is>
      </c>
      <c r="B34" s="2" t="inlineStr">
        <is>
          <t>solidity</t>
        </is>
      </c>
      <c r="C34" s="2">
        <f>SUMPRODUCT(('Colony Data'!$A$2:$A$54=$A34)*1)</f>
        <v/>
      </c>
      <c r="D34" s="2">
        <f>SUMPRODUCT(('Colony Data'!$A$2:$A$54=$A34)*('Colony Data'!$G$2:$G$54))</f>
        <v/>
      </c>
      <c r="E34" s="2">
        <f>SUMPRODUCT(('Colony Data'!$A$2:$A$54=$A34)*('Colony Data'!$G$2:$G$54)^2)</f>
        <v/>
      </c>
      <c r="F34" s="2">
        <f>IF(C34=0,"",D34/C34)</f>
        <v/>
      </c>
      <c r="G34" s="2">
        <f>IF(C34&lt;=1,"",SQRT((E34-(D34^2)/C34)/(C34-1)))</f>
        <v/>
      </c>
    </row>
    <row r="35">
      <c r="A35" s="3" t="inlineStr">
        <is>
          <t>HS19</t>
        </is>
      </c>
      <c r="B35" s="3" t="inlineStr">
        <is>
          <t>mean_hue</t>
        </is>
      </c>
      <c r="C35" s="3">
        <f>SUMPRODUCT(('Colony Data'!$A$2:$A$54=$A35)*1)</f>
        <v/>
      </c>
      <c r="D35" s="3">
        <f>SUMPRODUCT(('Colony Data'!$A$2:$A$54=$A35)*('Colony Data'!$H$2:$H$54))</f>
        <v/>
      </c>
      <c r="E35" s="3">
        <f>SUMPRODUCT(('Colony Data'!$A$2:$A$54=$A35)*('Colony Data'!$H$2:$H$54)^2)</f>
        <v/>
      </c>
      <c r="F35" s="3">
        <f>IF(C35=0,"",D35/C35)</f>
        <v/>
      </c>
      <c r="G35" s="3">
        <f>IF(C35&lt;=1,"",SQRT((E35-(D35^2)/C35)/(C35-1)))</f>
        <v/>
      </c>
    </row>
    <row r="36">
      <c r="A36" s="2" t="inlineStr">
        <is>
          <t>HS19</t>
        </is>
      </c>
      <c r="B36" s="2" t="inlineStr">
        <is>
          <t>mean_sat</t>
        </is>
      </c>
      <c r="C36" s="2">
        <f>SUMPRODUCT(('Colony Data'!$A$2:$A$54=$A36)*1)</f>
        <v/>
      </c>
      <c r="D36" s="2">
        <f>SUMPRODUCT(('Colony Data'!$A$2:$A$54=$A36)*('Colony Data'!$I$2:$I$54))</f>
        <v/>
      </c>
      <c r="E36" s="2">
        <f>SUMPRODUCT(('Colony Data'!$A$2:$A$54=$A36)*('Colony Data'!$I$2:$I$54)^2)</f>
        <v/>
      </c>
      <c r="F36" s="2">
        <f>IF(C36=0,"",D36/C36)</f>
        <v/>
      </c>
      <c r="G36" s="2">
        <f>IF(C36&lt;=1,"",SQRT((E36-(D36^2)/C36)/(C36-1)))</f>
        <v/>
      </c>
    </row>
    <row r="37">
      <c r="A37" s="3" t="inlineStr">
        <is>
          <t>HS19</t>
        </is>
      </c>
      <c r="B37" s="3" t="inlineStr">
        <is>
          <t>mean_val</t>
        </is>
      </c>
      <c r="C37" s="3">
        <f>SUMPRODUCT(('Colony Data'!$A$2:$A$54=$A37)*1)</f>
        <v/>
      </c>
      <c r="D37" s="3">
        <f>SUMPRODUCT(('Colony Data'!$A$2:$A$54=$A37)*('Colony Data'!$J$2:$J$54))</f>
        <v/>
      </c>
      <c r="E37" s="3">
        <f>SUMPRODUCT(('Colony Data'!$A$2:$A$54=$A37)*('Colony Data'!$J$2:$J$54)^2)</f>
        <v/>
      </c>
      <c r="F37" s="3">
        <f>IF(C37=0,"",D37/C37)</f>
        <v/>
      </c>
      <c r="G37" s="3">
        <f>IF(C37&lt;=1,"",SQRT((E37-(D37^2)/C37)/(C37-1)))</f>
        <v/>
      </c>
    </row>
    <row r="38">
      <c r="A38" s="2" t="inlineStr">
        <is>
          <t>HS19</t>
        </is>
      </c>
      <c r="B38" s="2" t="inlineStr">
        <is>
          <t>std_hue</t>
        </is>
      </c>
      <c r="C38" s="2">
        <f>SUMPRODUCT(('Colony Data'!$A$2:$A$54=$A38)*1)</f>
        <v/>
      </c>
      <c r="D38" s="2">
        <f>SUMPRODUCT(('Colony Data'!$A$2:$A$54=$A38)*('Colony Data'!$K$2:$K$54))</f>
        <v/>
      </c>
      <c r="E38" s="2">
        <f>SUMPRODUCT(('Colony Data'!$A$2:$A$54=$A38)*('Colony Data'!$K$2:$K$54)^2)</f>
        <v/>
      </c>
      <c r="F38" s="2">
        <f>IF(C38=0,"",D38/C38)</f>
        <v/>
      </c>
      <c r="G38" s="2">
        <f>IF(C38&lt;=1,"",SQRT((E38-(D38^2)/C38)/(C38-1)))</f>
        <v/>
      </c>
    </row>
    <row r="39">
      <c r="A39" s="3" t="inlineStr">
        <is>
          <t>HS19</t>
        </is>
      </c>
      <c r="B39" s="3" t="inlineStr">
        <is>
          <t>std_sat</t>
        </is>
      </c>
      <c r="C39" s="3">
        <f>SUMPRODUCT(('Colony Data'!$A$2:$A$54=$A39)*1)</f>
        <v/>
      </c>
      <c r="D39" s="3">
        <f>SUMPRODUCT(('Colony Data'!$A$2:$A$54=$A39)*('Colony Data'!$L$2:$L$54))</f>
        <v/>
      </c>
      <c r="E39" s="3">
        <f>SUMPRODUCT(('Colony Data'!$A$2:$A$54=$A39)*('Colony Data'!$L$2:$L$54)^2)</f>
        <v/>
      </c>
      <c r="F39" s="3">
        <f>IF(C39=0,"",D39/C39)</f>
        <v/>
      </c>
      <c r="G39" s="3">
        <f>IF(C39&lt;=1,"",SQRT((E39-(D39^2)/C39)/(C39-1)))</f>
        <v/>
      </c>
    </row>
    <row r="40">
      <c r="A40" s="2" t="inlineStr">
        <is>
          <t>HS19</t>
        </is>
      </c>
      <c r="B40" s="2" t="inlineStr">
        <is>
          <t>std_val</t>
        </is>
      </c>
      <c r="C40" s="2">
        <f>SUMPRODUCT(('Colony Data'!$A$2:$A$54=$A40)*1)</f>
        <v/>
      </c>
      <c r="D40" s="2">
        <f>SUMPRODUCT(('Colony Data'!$A$2:$A$54=$A40)*('Colony Data'!$M$2:$M$54))</f>
        <v/>
      </c>
      <c r="E40" s="2">
        <f>SUMPRODUCT(('Colony Data'!$A$2:$A$54=$A40)*('Colony Data'!$M$2:$M$54)^2)</f>
        <v/>
      </c>
      <c r="F40" s="2">
        <f>IF(C40=0,"",D40/C40)</f>
        <v/>
      </c>
      <c r="G40" s="2">
        <f>IF(C40&lt;=1,"",SQRT((E40-(D40^2)/C40)/(C40-1)))</f>
        <v/>
      </c>
    </row>
    <row r="41">
      <c r="A41" s="3" t="inlineStr">
        <is>
          <t>HS19</t>
        </is>
      </c>
      <c r="B41" s="3" t="inlineStr">
        <is>
          <t>texture_std</t>
        </is>
      </c>
      <c r="C41" s="3">
        <f>SUMPRODUCT(('Colony Data'!$A$2:$A$54=$A41)*1)</f>
        <v/>
      </c>
      <c r="D41" s="3">
        <f>SUMPRODUCT(('Colony Data'!$A$2:$A$54=$A41)*('Colony Data'!$N$2:$N$54))</f>
        <v/>
      </c>
      <c r="E41" s="3">
        <f>SUMPRODUCT(('Colony Data'!$A$2:$A$54=$A41)*('Colony Data'!$N$2:$N$54)^2)</f>
        <v/>
      </c>
      <c r="F41" s="3">
        <f>IF(C41=0,"",D41/C41)</f>
        <v/>
      </c>
      <c r="G41" s="3">
        <f>IF(C41&lt;=1,"",SQRT((E41-(D41^2)/C41)/(C41-1)))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45" customWidth="1" min="4" max="4"/>
    <col width="45" customWidth="1" min="5" max="5"/>
    <col width="45" customWidth="1" min="6" max="6"/>
    <col width="26" customWidth="1" min="7" max="7"/>
    <col width="45" customWidth="1" min="8" max="8"/>
  </cols>
  <sheetData>
    <row r="1">
      <c r="A1" s="1" t="inlineStr">
        <is>
          <t>plate_group</t>
        </is>
      </c>
      <c r="B1" s="1" t="inlineStr">
        <is>
          <t>strain</t>
        </is>
      </c>
      <c r="C1" s="1" t="inlineStr">
        <is>
          <t>feature</t>
        </is>
      </c>
      <c r="D1" s="1" t="inlineStr">
        <is>
          <t>n</t>
        </is>
      </c>
      <c r="E1" s="1" t="inlineStr">
        <is>
          <t>sum_x</t>
        </is>
      </c>
      <c r="F1" s="1" t="inlineStr">
        <is>
          <t>sum_x2</t>
        </is>
      </c>
      <c r="G1" s="1" t="inlineStr">
        <is>
          <t>mean</t>
        </is>
      </c>
      <c r="H1" s="1" t="inlineStr">
        <is>
          <t>std</t>
        </is>
      </c>
    </row>
    <row r="2">
      <c r="A2" s="2" t="inlineStr">
        <is>
          <t>ALE_plate1</t>
        </is>
      </c>
      <c r="B2" s="2" t="inlineStr">
        <is>
          <t>ALE</t>
        </is>
      </c>
      <c r="C2" s="2" t="inlineStr">
        <is>
          <t>equiv_diameter</t>
        </is>
      </c>
      <c r="D2" s="2">
        <f>SUMPRODUCT(('Colony Data'!$B$2:$B$54=$A2)*1)</f>
        <v/>
      </c>
      <c r="E2" s="2">
        <f>SUMPRODUCT(('Colony Data'!$B$2:$B$54=$A2)*('Colony Data'!$E$2:$E$54))</f>
        <v/>
      </c>
      <c r="F2" s="2">
        <f>SUMPRODUCT(('Colony Data'!$B$2:$B$54=$A2)*('Colony Data'!$E$2:$E$54)^2)</f>
        <v/>
      </c>
      <c r="G2" s="2">
        <f>IF(D2=0,"",E2/D2)</f>
        <v/>
      </c>
      <c r="H2" s="2">
        <f>IF(D2&lt;=1,"",SQRT((F2-(E2^2)/D2)/(D2-1)))</f>
        <v/>
      </c>
    </row>
    <row r="3">
      <c r="A3" s="3" t="inlineStr">
        <is>
          <t>ALE_plate1</t>
        </is>
      </c>
      <c r="B3" s="3" t="inlineStr">
        <is>
          <t>ALE</t>
        </is>
      </c>
      <c r="C3" s="3" t="inlineStr">
        <is>
          <t>circularity</t>
        </is>
      </c>
      <c r="D3" s="3">
        <f>SUMPRODUCT(('Colony Data'!$B$2:$B$54=$A3)*1)</f>
        <v/>
      </c>
      <c r="E3" s="3">
        <f>SUMPRODUCT(('Colony Data'!$B$2:$B$54=$A3)*('Colony Data'!$F$2:$F$54))</f>
        <v/>
      </c>
      <c r="F3" s="3">
        <f>SUMPRODUCT(('Colony Data'!$B$2:$B$54=$A3)*('Colony Data'!$F$2:$F$54)^2)</f>
        <v/>
      </c>
      <c r="G3" s="3">
        <f>IF(D3=0,"",E3/D3)</f>
        <v/>
      </c>
      <c r="H3" s="3">
        <f>IF(D3&lt;=1,"",SQRT((F3-(E3^2)/D3)/(D3-1)))</f>
        <v/>
      </c>
    </row>
    <row r="4">
      <c r="A4" s="2" t="inlineStr">
        <is>
          <t>ALE_plate1</t>
        </is>
      </c>
      <c r="B4" s="2" t="inlineStr">
        <is>
          <t>ALE</t>
        </is>
      </c>
      <c r="C4" s="2" t="inlineStr">
        <is>
          <t>solidity</t>
        </is>
      </c>
      <c r="D4" s="2">
        <f>SUMPRODUCT(('Colony Data'!$B$2:$B$54=$A4)*1)</f>
        <v/>
      </c>
      <c r="E4" s="2">
        <f>SUMPRODUCT(('Colony Data'!$B$2:$B$54=$A4)*('Colony Data'!$G$2:$G$54))</f>
        <v/>
      </c>
      <c r="F4" s="2">
        <f>SUMPRODUCT(('Colony Data'!$B$2:$B$54=$A4)*('Colony Data'!$G$2:$G$54)^2)</f>
        <v/>
      </c>
      <c r="G4" s="2">
        <f>IF(D4=0,"",E4/D4)</f>
        <v/>
      </c>
      <c r="H4" s="2">
        <f>IF(D4&lt;=1,"",SQRT((F4-(E4^2)/D4)/(D4-1)))</f>
        <v/>
      </c>
    </row>
    <row r="5">
      <c r="A5" s="3" t="inlineStr">
        <is>
          <t>ALE_plate1</t>
        </is>
      </c>
      <c r="B5" s="3" t="inlineStr">
        <is>
          <t>ALE</t>
        </is>
      </c>
      <c r="C5" s="3" t="inlineStr">
        <is>
          <t>mean_hue</t>
        </is>
      </c>
      <c r="D5" s="3">
        <f>SUMPRODUCT(('Colony Data'!$B$2:$B$54=$A5)*1)</f>
        <v/>
      </c>
      <c r="E5" s="3">
        <f>SUMPRODUCT(('Colony Data'!$B$2:$B$54=$A5)*('Colony Data'!$H$2:$H$54))</f>
        <v/>
      </c>
      <c r="F5" s="3">
        <f>SUMPRODUCT(('Colony Data'!$B$2:$B$54=$A5)*('Colony Data'!$H$2:$H$54)^2)</f>
        <v/>
      </c>
      <c r="G5" s="3">
        <f>IF(D5=0,"",E5/D5)</f>
        <v/>
      </c>
      <c r="H5" s="3">
        <f>IF(D5&lt;=1,"",SQRT((F5-(E5^2)/D5)/(D5-1)))</f>
        <v/>
      </c>
    </row>
    <row r="6">
      <c r="A6" s="2" t="inlineStr">
        <is>
          <t>ALE_plate1</t>
        </is>
      </c>
      <c r="B6" s="2" t="inlineStr">
        <is>
          <t>ALE</t>
        </is>
      </c>
      <c r="C6" s="2" t="inlineStr">
        <is>
          <t>mean_sat</t>
        </is>
      </c>
      <c r="D6" s="2">
        <f>SUMPRODUCT(('Colony Data'!$B$2:$B$54=$A6)*1)</f>
        <v/>
      </c>
      <c r="E6" s="2">
        <f>SUMPRODUCT(('Colony Data'!$B$2:$B$54=$A6)*('Colony Data'!$I$2:$I$54))</f>
        <v/>
      </c>
      <c r="F6" s="2">
        <f>SUMPRODUCT(('Colony Data'!$B$2:$B$54=$A6)*('Colony Data'!$I$2:$I$54)^2)</f>
        <v/>
      </c>
      <c r="G6" s="2">
        <f>IF(D6=0,"",E6/D6)</f>
        <v/>
      </c>
      <c r="H6" s="2">
        <f>IF(D6&lt;=1,"",SQRT((F6-(E6^2)/D6)/(D6-1)))</f>
        <v/>
      </c>
    </row>
    <row r="7">
      <c r="A7" s="3" t="inlineStr">
        <is>
          <t>ALE_plate1</t>
        </is>
      </c>
      <c r="B7" s="3" t="inlineStr">
        <is>
          <t>ALE</t>
        </is>
      </c>
      <c r="C7" s="3" t="inlineStr">
        <is>
          <t>mean_val</t>
        </is>
      </c>
      <c r="D7" s="3">
        <f>SUMPRODUCT(('Colony Data'!$B$2:$B$54=$A7)*1)</f>
        <v/>
      </c>
      <c r="E7" s="3">
        <f>SUMPRODUCT(('Colony Data'!$B$2:$B$54=$A7)*('Colony Data'!$J$2:$J$54))</f>
        <v/>
      </c>
      <c r="F7" s="3">
        <f>SUMPRODUCT(('Colony Data'!$B$2:$B$54=$A7)*('Colony Data'!$J$2:$J$54)^2)</f>
        <v/>
      </c>
      <c r="G7" s="3">
        <f>IF(D7=0,"",E7/D7)</f>
        <v/>
      </c>
      <c r="H7" s="3">
        <f>IF(D7&lt;=1,"",SQRT((F7-(E7^2)/D7)/(D7-1)))</f>
        <v/>
      </c>
    </row>
    <row r="8">
      <c r="A8" s="2" t="inlineStr">
        <is>
          <t>ALE_plate1</t>
        </is>
      </c>
      <c r="B8" s="2" t="inlineStr">
        <is>
          <t>ALE</t>
        </is>
      </c>
      <c r="C8" s="2" t="inlineStr">
        <is>
          <t>std_hue</t>
        </is>
      </c>
      <c r="D8" s="2">
        <f>SUMPRODUCT(('Colony Data'!$B$2:$B$54=$A8)*1)</f>
        <v/>
      </c>
      <c r="E8" s="2">
        <f>SUMPRODUCT(('Colony Data'!$B$2:$B$54=$A8)*('Colony Data'!$K$2:$K$54))</f>
        <v/>
      </c>
      <c r="F8" s="2">
        <f>SUMPRODUCT(('Colony Data'!$B$2:$B$54=$A8)*('Colony Data'!$K$2:$K$54)^2)</f>
        <v/>
      </c>
      <c r="G8" s="2">
        <f>IF(D8=0,"",E8/D8)</f>
        <v/>
      </c>
      <c r="H8" s="2">
        <f>IF(D8&lt;=1,"",SQRT((F8-(E8^2)/D8)/(D8-1)))</f>
        <v/>
      </c>
    </row>
    <row r="9">
      <c r="A9" s="3" t="inlineStr">
        <is>
          <t>ALE_plate1</t>
        </is>
      </c>
      <c r="B9" s="3" t="inlineStr">
        <is>
          <t>ALE</t>
        </is>
      </c>
      <c r="C9" s="3" t="inlineStr">
        <is>
          <t>std_sat</t>
        </is>
      </c>
      <c r="D9" s="3">
        <f>SUMPRODUCT(('Colony Data'!$B$2:$B$54=$A9)*1)</f>
        <v/>
      </c>
      <c r="E9" s="3">
        <f>SUMPRODUCT(('Colony Data'!$B$2:$B$54=$A9)*('Colony Data'!$L$2:$L$54))</f>
        <v/>
      </c>
      <c r="F9" s="3">
        <f>SUMPRODUCT(('Colony Data'!$B$2:$B$54=$A9)*('Colony Data'!$L$2:$L$54)^2)</f>
        <v/>
      </c>
      <c r="G9" s="3">
        <f>IF(D9=0,"",E9/D9)</f>
        <v/>
      </c>
      <c r="H9" s="3">
        <f>IF(D9&lt;=1,"",SQRT((F9-(E9^2)/D9)/(D9-1)))</f>
        <v/>
      </c>
    </row>
    <row r="10">
      <c r="A10" s="2" t="inlineStr">
        <is>
          <t>ALE_plate1</t>
        </is>
      </c>
      <c r="B10" s="2" t="inlineStr">
        <is>
          <t>ALE</t>
        </is>
      </c>
      <c r="C10" s="2" t="inlineStr">
        <is>
          <t>std_val</t>
        </is>
      </c>
      <c r="D10" s="2">
        <f>SUMPRODUCT(('Colony Data'!$B$2:$B$54=$A10)*1)</f>
        <v/>
      </c>
      <c r="E10" s="2">
        <f>SUMPRODUCT(('Colony Data'!$B$2:$B$54=$A10)*('Colony Data'!$M$2:$M$54))</f>
        <v/>
      </c>
      <c r="F10" s="2">
        <f>SUMPRODUCT(('Colony Data'!$B$2:$B$54=$A10)*('Colony Data'!$M$2:$M$54)^2)</f>
        <v/>
      </c>
      <c r="G10" s="2">
        <f>IF(D10=0,"",E10/D10)</f>
        <v/>
      </c>
      <c r="H10" s="2">
        <f>IF(D10&lt;=1,"",SQRT((F10-(E10^2)/D10)/(D10-1)))</f>
        <v/>
      </c>
    </row>
    <row r="11">
      <c r="A11" s="3" t="inlineStr">
        <is>
          <t>ALE_plate1</t>
        </is>
      </c>
      <c r="B11" s="3" t="inlineStr">
        <is>
          <t>ALE</t>
        </is>
      </c>
      <c r="C11" s="3" t="inlineStr">
        <is>
          <t>texture_std</t>
        </is>
      </c>
      <c r="D11" s="3">
        <f>SUMPRODUCT(('Colony Data'!$B$2:$B$54=$A11)*1)</f>
        <v/>
      </c>
      <c r="E11" s="3">
        <f>SUMPRODUCT(('Colony Data'!$B$2:$B$54=$A11)*('Colony Data'!$N$2:$N$54))</f>
        <v/>
      </c>
      <c r="F11" s="3">
        <f>SUMPRODUCT(('Colony Data'!$B$2:$B$54=$A11)*('Colony Data'!$N$2:$N$54)^2)</f>
        <v/>
      </c>
      <c r="G11" s="3">
        <f>IF(D11=0,"",E11/D11)</f>
        <v/>
      </c>
      <c r="H11" s="3">
        <f>IF(D11&lt;=1,"",SQRT((F11-(E11^2)/D11)/(D11-1)))</f>
        <v/>
      </c>
    </row>
    <row r="12">
      <c r="A12" s="2" t="inlineStr">
        <is>
          <t>ALE_plate2</t>
        </is>
      </c>
      <c r="B12" s="2" t="inlineStr">
        <is>
          <t>ALE</t>
        </is>
      </c>
      <c r="C12" s="2" t="inlineStr">
        <is>
          <t>equiv_diameter</t>
        </is>
      </c>
      <c r="D12" s="2">
        <f>SUMPRODUCT(('Colony Data'!$B$2:$B$54=$A12)*1)</f>
        <v/>
      </c>
      <c r="E12" s="2">
        <f>SUMPRODUCT(('Colony Data'!$B$2:$B$54=$A12)*('Colony Data'!$E$2:$E$54))</f>
        <v/>
      </c>
      <c r="F12" s="2">
        <f>SUMPRODUCT(('Colony Data'!$B$2:$B$54=$A12)*('Colony Data'!$E$2:$E$54)^2)</f>
        <v/>
      </c>
      <c r="G12" s="2">
        <f>IF(D12=0,"",E12/D12)</f>
        <v/>
      </c>
      <c r="H12" s="2">
        <f>IF(D12&lt;=1,"",SQRT((F12-(E12^2)/D12)/(D12-1)))</f>
        <v/>
      </c>
    </row>
    <row r="13">
      <c r="A13" s="3" t="inlineStr">
        <is>
          <t>ALE_plate2</t>
        </is>
      </c>
      <c r="B13" s="3" t="inlineStr">
        <is>
          <t>ALE</t>
        </is>
      </c>
      <c r="C13" s="3" t="inlineStr">
        <is>
          <t>circularity</t>
        </is>
      </c>
      <c r="D13" s="3">
        <f>SUMPRODUCT(('Colony Data'!$B$2:$B$54=$A13)*1)</f>
        <v/>
      </c>
      <c r="E13" s="3">
        <f>SUMPRODUCT(('Colony Data'!$B$2:$B$54=$A13)*('Colony Data'!$F$2:$F$54))</f>
        <v/>
      </c>
      <c r="F13" s="3">
        <f>SUMPRODUCT(('Colony Data'!$B$2:$B$54=$A13)*('Colony Data'!$F$2:$F$54)^2)</f>
        <v/>
      </c>
      <c r="G13" s="3">
        <f>IF(D13=0,"",E13/D13)</f>
        <v/>
      </c>
      <c r="H13" s="3">
        <f>IF(D13&lt;=1,"",SQRT((F13-(E13^2)/D13)/(D13-1)))</f>
        <v/>
      </c>
    </row>
    <row r="14">
      <c r="A14" s="2" t="inlineStr">
        <is>
          <t>ALE_plate2</t>
        </is>
      </c>
      <c r="B14" s="2" t="inlineStr">
        <is>
          <t>ALE</t>
        </is>
      </c>
      <c r="C14" s="2" t="inlineStr">
        <is>
          <t>solidity</t>
        </is>
      </c>
      <c r="D14" s="2">
        <f>SUMPRODUCT(('Colony Data'!$B$2:$B$54=$A14)*1)</f>
        <v/>
      </c>
      <c r="E14" s="2">
        <f>SUMPRODUCT(('Colony Data'!$B$2:$B$54=$A14)*('Colony Data'!$G$2:$G$54))</f>
        <v/>
      </c>
      <c r="F14" s="2">
        <f>SUMPRODUCT(('Colony Data'!$B$2:$B$54=$A14)*('Colony Data'!$G$2:$G$54)^2)</f>
        <v/>
      </c>
      <c r="G14" s="2">
        <f>IF(D14=0,"",E14/D14)</f>
        <v/>
      </c>
      <c r="H14" s="2">
        <f>IF(D14&lt;=1,"",SQRT((F14-(E14^2)/D14)/(D14-1)))</f>
        <v/>
      </c>
    </row>
    <row r="15">
      <c r="A15" s="3" t="inlineStr">
        <is>
          <t>ALE_plate2</t>
        </is>
      </c>
      <c r="B15" s="3" t="inlineStr">
        <is>
          <t>ALE</t>
        </is>
      </c>
      <c r="C15" s="3" t="inlineStr">
        <is>
          <t>mean_hue</t>
        </is>
      </c>
      <c r="D15" s="3">
        <f>SUMPRODUCT(('Colony Data'!$B$2:$B$54=$A15)*1)</f>
        <v/>
      </c>
      <c r="E15" s="3">
        <f>SUMPRODUCT(('Colony Data'!$B$2:$B$54=$A15)*('Colony Data'!$H$2:$H$54))</f>
        <v/>
      </c>
      <c r="F15" s="3">
        <f>SUMPRODUCT(('Colony Data'!$B$2:$B$54=$A15)*('Colony Data'!$H$2:$H$54)^2)</f>
        <v/>
      </c>
      <c r="G15" s="3">
        <f>IF(D15=0,"",E15/D15)</f>
        <v/>
      </c>
      <c r="H15" s="3">
        <f>IF(D15&lt;=1,"",SQRT((F15-(E15^2)/D15)/(D15-1)))</f>
        <v/>
      </c>
    </row>
    <row r="16">
      <c r="A16" s="2" t="inlineStr">
        <is>
          <t>ALE_plate2</t>
        </is>
      </c>
      <c r="B16" s="2" t="inlineStr">
        <is>
          <t>ALE</t>
        </is>
      </c>
      <c r="C16" s="2" t="inlineStr">
        <is>
          <t>mean_sat</t>
        </is>
      </c>
      <c r="D16" s="2">
        <f>SUMPRODUCT(('Colony Data'!$B$2:$B$54=$A16)*1)</f>
        <v/>
      </c>
      <c r="E16" s="2">
        <f>SUMPRODUCT(('Colony Data'!$B$2:$B$54=$A16)*('Colony Data'!$I$2:$I$54))</f>
        <v/>
      </c>
      <c r="F16" s="2">
        <f>SUMPRODUCT(('Colony Data'!$B$2:$B$54=$A16)*('Colony Data'!$I$2:$I$54)^2)</f>
        <v/>
      </c>
      <c r="G16" s="2">
        <f>IF(D16=0,"",E16/D16)</f>
        <v/>
      </c>
      <c r="H16" s="2">
        <f>IF(D16&lt;=1,"",SQRT((F16-(E16^2)/D16)/(D16-1)))</f>
        <v/>
      </c>
    </row>
    <row r="17">
      <c r="A17" s="3" t="inlineStr">
        <is>
          <t>ALE_plate2</t>
        </is>
      </c>
      <c r="B17" s="3" t="inlineStr">
        <is>
          <t>ALE</t>
        </is>
      </c>
      <c r="C17" s="3" t="inlineStr">
        <is>
          <t>mean_val</t>
        </is>
      </c>
      <c r="D17" s="3">
        <f>SUMPRODUCT(('Colony Data'!$B$2:$B$54=$A17)*1)</f>
        <v/>
      </c>
      <c r="E17" s="3">
        <f>SUMPRODUCT(('Colony Data'!$B$2:$B$54=$A17)*('Colony Data'!$J$2:$J$54))</f>
        <v/>
      </c>
      <c r="F17" s="3">
        <f>SUMPRODUCT(('Colony Data'!$B$2:$B$54=$A17)*('Colony Data'!$J$2:$J$54)^2)</f>
        <v/>
      </c>
      <c r="G17" s="3">
        <f>IF(D17=0,"",E17/D17)</f>
        <v/>
      </c>
      <c r="H17" s="3">
        <f>IF(D17&lt;=1,"",SQRT((F17-(E17^2)/D17)/(D17-1)))</f>
        <v/>
      </c>
    </row>
    <row r="18">
      <c r="A18" s="2" t="inlineStr">
        <is>
          <t>ALE_plate2</t>
        </is>
      </c>
      <c r="B18" s="2" t="inlineStr">
        <is>
          <t>ALE</t>
        </is>
      </c>
      <c r="C18" s="2" t="inlineStr">
        <is>
          <t>std_hue</t>
        </is>
      </c>
      <c r="D18" s="2">
        <f>SUMPRODUCT(('Colony Data'!$B$2:$B$54=$A18)*1)</f>
        <v/>
      </c>
      <c r="E18" s="2">
        <f>SUMPRODUCT(('Colony Data'!$B$2:$B$54=$A18)*('Colony Data'!$K$2:$K$54))</f>
        <v/>
      </c>
      <c r="F18" s="2">
        <f>SUMPRODUCT(('Colony Data'!$B$2:$B$54=$A18)*('Colony Data'!$K$2:$K$54)^2)</f>
        <v/>
      </c>
      <c r="G18" s="2">
        <f>IF(D18=0,"",E18/D18)</f>
        <v/>
      </c>
      <c r="H18" s="2">
        <f>IF(D18&lt;=1,"",SQRT((F18-(E18^2)/D18)/(D18-1)))</f>
        <v/>
      </c>
    </row>
    <row r="19">
      <c r="A19" s="3" t="inlineStr">
        <is>
          <t>ALE_plate2</t>
        </is>
      </c>
      <c r="B19" s="3" t="inlineStr">
        <is>
          <t>ALE</t>
        </is>
      </c>
      <c r="C19" s="3" t="inlineStr">
        <is>
          <t>std_sat</t>
        </is>
      </c>
      <c r="D19" s="3">
        <f>SUMPRODUCT(('Colony Data'!$B$2:$B$54=$A19)*1)</f>
        <v/>
      </c>
      <c r="E19" s="3">
        <f>SUMPRODUCT(('Colony Data'!$B$2:$B$54=$A19)*('Colony Data'!$L$2:$L$54))</f>
        <v/>
      </c>
      <c r="F19" s="3">
        <f>SUMPRODUCT(('Colony Data'!$B$2:$B$54=$A19)*('Colony Data'!$L$2:$L$54)^2)</f>
        <v/>
      </c>
      <c r="G19" s="3">
        <f>IF(D19=0,"",E19/D19)</f>
        <v/>
      </c>
      <c r="H19" s="3">
        <f>IF(D19&lt;=1,"",SQRT((F19-(E19^2)/D19)/(D19-1)))</f>
        <v/>
      </c>
    </row>
    <row r="20">
      <c r="A20" s="2" t="inlineStr">
        <is>
          <t>ALE_plate2</t>
        </is>
      </c>
      <c r="B20" s="2" t="inlineStr">
        <is>
          <t>ALE</t>
        </is>
      </c>
      <c r="C20" s="2" t="inlineStr">
        <is>
          <t>std_val</t>
        </is>
      </c>
      <c r="D20" s="2">
        <f>SUMPRODUCT(('Colony Data'!$B$2:$B$54=$A20)*1)</f>
        <v/>
      </c>
      <c r="E20" s="2">
        <f>SUMPRODUCT(('Colony Data'!$B$2:$B$54=$A20)*('Colony Data'!$M$2:$M$54))</f>
        <v/>
      </c>
      <c r="F20" s="2">
        <f>SUMPRODUCT(('Colony Data'!$B$2:$B$54=$A20)*('Colony Data'!$M$2:$M$54)^2)</f>
        <v/>
      </c>
      <c r="G20" s="2">
        <f>IF(D20=0,"",E20/D20)</f>
        <v/>
      </c>
      <c r="H20" s="2">
        <f>IF(D20&lt;=1,"",SQRT((F20-(E20^2)/D20)/(D20-1)))</f>
        <v/>
      </c>
    </row>
    <row r="21">
      <c r="A21" s="3" t="inlineStr">
        <is>
          <t>ALE_plate2</t>
        </is>
      </c>
      <c r="B21" s="3" t="inlineStr">
        <is>
          <t>ALE</t>
        </is>
      </c>
      <c r="C21" s="3" t="inlineStr">
        <is>
          <t>texture_std</t>
        </is>
      </c>
      <c r="D21" s="3">
        <f>SUMPRODUCT(('Colony Data'!$B$2:$B$54=$A21)*1)</f>
        <v/>
      </c>
      <c r="E21" s="3">
        <f>SUMPRODUCT(('Colony Data'!$B$2:$B$54=$A21)*('Colony Data'!$N$2:$N$54))</f>
        <v/>
      </c>
      <c r="F21" s="3">
        <f>SUMPRODUCT(('Colony Data'!$B$2:$B$54=$A21)*('Colony Data'!$N$2:$N$54)^2)</f>
        <v/>
      </c>
      <c r="G21" s="3">
        <f>IF(D21=0,"",E21/D21)</f>
        <v/>
      </c>
      <c r="H21" s="3">
        <f>IF(D21&lt;=1,"",SQRT((F21-(E21^2)/D21)/(D21-1)))</f>
        <v/>
      </c>
    </row>
    <row r="22">
      <c r="A22" s="2" t="inlineStr">
        <is>
          <t>ALE_plate3</t>
        </is>
      </c>
      <c r="B22" s="2" t="inlineStr">
        <is>
          <t>ALE</t>
        </is>
      </c>
      <c r="C22" s="2" t="inlineStr">
        <is>
          <t>equiv_diameter</t>
        </is>
      </c>
      <c r="D22" s="2">
        <f>SUMPRODUCT(('Colony Data'!$B$2:$B$54=$A22)*1)</f>
        <v/>
      </c>
      <c r="E22" s="2">
        <f>SUMPRODUCT(('Colony Data'!$B$2:$B$54=$A22)*('Colony Data'!$E$2:$E$54))</f>
        <v/>
      </c>
      <c r="F22" s="2">
        <f>SUMPRODUCT(('Colony Data'!$B$2:$B$54=$A22)*('Colony Data'!$E$2:$E$54)^2)</f>
        <v/>
      </c>
      <c r="G22" s="2">
        <f>IF(D22=0,"",E22/D22)</f>
        <v/>
      </c>
      <c r="H22" s="2">
        <f>IF(D22&lt;=1,"",SQRT((F22-(E22^2)/D22)/(D22-1)))</f>
        <v/>
      </c>
    </row>
    <row r="23">
      <c r="A23" s="3" t="inlineStr">
        <is>
          <t>ALE_plate3</t>
        </is>
      </c>
      <c r="B23" s="3" t="inlineStr">
        <is>
          <t>ALE</t>
        </is>
      </c>
      <c r="C23" s="3" t="inlineStr">
        <is>
          <t>circularity</t>
        </is>
      </c>
      <c r="D23" s="3">
        <f>SUMPRODUCT(('Colony Data'!$B$2:$B$54=$A23)*1)</f>
        <v/>
      </c>
      <c r="E23" s="3">
        <f>SUMPRODUCT(('Colony Data'!$B$2:$B$54=$A23)*('Colony Data'!$F$2:$F$54))</f>
        <v/>
      </c>
      <c r="F23" s="3">
        <f>SUMPRODUCT(('Colony Data'!$B$2:$B$54=$A23)*('Colony Data'!$F$2:$F$54)^2)</f>
        <v/>
      </c>
      <c r="G23" s="3">
        <f>IF(D23=0,"",E23/D23)</f>
        <v/>
      </c>
      <c r="H23" s="3">
        <f>IF(D23&lt;=1,"",SQRT((F23-(E23^2)/D23)/(D23-1)))</f>
        <v/>
      </c>
    </row>
    <row r="24">
      <c r="A24" s="2" t="inlineStr">
        <is>
          <t>ALE_plate3</t>
        </is>
      </c>
      <c r="B24" s="2" t="inlineStr">
        <is>
          <t>ALE</t>
        </is>
      </c>
      <c r="C24" s="2" t="inlineStr">
        <is>
          <t>solidity</t>
        </is>
      </c>
      <c r="D24" s="2">
        <f>SUMPRODUCT(('Colony Data'!$B$2:$B$54=$A24)*1)</f>
        <v/>
      </c>
      <c r="E24" s="2">
        <f>SUMPRODUCT(('Colony Data'!$B$2:$B$54=$A24)*('Colony Data'!$G$2:$G$54))</f>
        <v/>
      </c>
      <c r="F24" s="2">
        <f>SUMPRODUCT(('Colony Data'!$B$2:$B$54=$A24)*('Colony Data'!$G$2:$G$54)^2)</f>
        <v/>
      </c>
      <c r="G24" s="2">
        <f>IF(D24=0,"",E24/D24)</f>
        <v/>
      </c>
      <c r="H24" s="2">
        <f>IF(D24&lt;=1,"",SQRT((F24-(E24^2)/D24)/(D24-1)))</f>
        <v/>
      </c>
    </row>
    <row r="25">
      <c r="A25" s="3" t="inlineStr">
        <is>
          <t>ALE_plate3</t>
        </is>
      </c>
      <c r="B25" s="3" t="inlineStr">
        <is>
          <t>ALE</t>
        </is>
      </c>
      <c r="C25" s="3" t="inlineStr">
        <is>
          <t>mean_hue</t>
        </is>
      </c>
      <c r="D25" s="3">
        <f>SUMPRODUCT(('Colony Data'!$B$2:$B$54=$A25)*1)</f>
        <v/>
      </c>
      <c r="E25" s="3">
        <f>SUMPRODUCT(('Colony Data'!$B$2:$B$54=$A25)*('Colony Data'!$H$2:$H$54))</f>
        <v/>
      </c>
      <c r="F25" s="3">
        <f>SUMPRODUCT(('Colony Data'!$B$2:$B$54=$A25)*('Colony Data'!$H$2:$H$54)^2)</f>
        <v/>
      </c>
      <c r="G25" s="3">
        <f>IF(D25=0,"",E25/D25)</f>
        <v/>
      </c>
      <c r="H25" s="3">
        <f>IF(D25&lt;=1,"",SQRT((F25-(E25^2)/D25)/(D25-1)))</f>
        <v/>
      </c>
    </row>
    <row r="26">
      <c r="A26" s="2" t="inlineStr">
        <is>
          <t>ALE_plate3</t>
        </is>
      </c>
      <c r="B26" s="2" t="inlineStr">
        <is>
          <t>ALE</t>
        </is>
      </c>
      <c r="C26" s="2" t="inlineStr">
        <is>
          <t>mean_sat</t>
        </is>
      </c>
      <c r="D26" s="2">
        <f>SUMPRODUCT(('Colony Data'!$B$2:$B$54=$A26)*1)</f>
        <v/>
      </c>
      <c r="E26" s="2">
        <f>SUMPRODUCT(('Colony Data'!$B$2:$B$54=$A26)*('Colony Data'!$I$2:$I$54))</f>
        <v/>
      </c>
      <c r="F26" s="2">
        <f>SUMPRODUCT(('Colony Data'!$B$2:$B$54=$A26)*('Colony Data'!$I$2:$I$54)^2)</f>
        <v/>
      </c>
      <c r="G26" s="2">
        <f>IF(D26=0,"",E26/D26)</f>
        <v/>
      </c>
      <c r="H26" s="2">
        <f>IF(D26&lt;=1,"",SQRT((F26-(E26^2)/D26)/(D26-1)))</f>
        <v/>
      </c>
    </row>
    <row r="27">
      <c r="A27" s="3" t="inlineStr">
        <is>
          <t>ALE_plate3</t>
        </is>
      </c>
      <c r="B27" s="3" t="inlineStr">
        <is>
          <t>ALE</t>
        </is>
      </c>
      <c r="C27" s="3" t="inlineStr">
        <is>
          <t>mean_val</t>
        </is>
      </c>
      <c r="D27" s="3">
        <f>SUMPRODUCT(('Colony Data'!$B$2:$B$54=$A27)*1)</f>
        <v/>
      </c>
      <c r="E27" s="3">
        <f>SUMPRODUCT(('Colony Data'!$B$2:$B$54=$A27)*('Colony Data'!$J$2:$J$54))</f>
        <v/>
      </c>
      <c r="F27" s="3">
        <f>SUMPRODUCT(('Colony Data'!$B$2:$B$54=$A27)*('Colony Data'!$J$2:$J$54)^2)</f>
        <v/>
      </c>
      <c r="G27" s="3">
        <f>IF(D27=0,"",E27/D27)</f>
        <v/>
      </c>
      <c r="H27" s="3">
        <f>IF(D27&lt;=1,"",SQRT((F27-(E27^2)/D27)/(D27-1)))</f>
        <v/>
      </c>
    </row>
    <row r="28">
      <c r="A28" s="2" t="inlineStr">
        <is>
          <t>ALE_plate3</t>
        </is>
      </c>
      <c r="B28" s="2" t="inlineStr">
        <is>
          <t>ALE</t>
        </is>
      </c>
      <c r="C28" s="2" t="inlineStr">
        <is>
          <t>std_hue</t>
        </is>
      </c>
      <c r="D28" s="2">
        <f>SUMPRODUCT(('Colony Data'!$B$2:$B$54=$A28)*1)</f>
        <v/>
      </c>
      <c r="E28" s="2">
        <f>SUMPRODUCT(('Colony Data'!$B$2:$B$54=$A28)*('Colony Data'!$K$2:$K$54))</f>
        <v/>
      </c>
      <c r="F28" s="2">
        <f>SUMPRODUCT(('Colony Data'!$B$2:$B$54=$A28)*('Colony Data'!$K$2:$K$54)^2)</f>
        <v/>
      </c>
      <c r="G28" s="2">
        <f>IF(D28=0,"",E28/D28)</f>
        <v/>
      </c>
      <c r="H28" s="2">
        <f>IF(D28&lt;=1,"",SQRT((F28-(E28^2)/D28)/(D28-1)))</f>
        <v/>
      </c>
    </row>
    <row r="29">
      <c r="A29" s="3" t="inlineStr">
        <is>
          <t>ALE_plate3</t>
        </is>
      </c>
      <c r="B29" s="3" t="inlineStr">
        <is>
          <t>ALE</t>
        </is>
      </c>
      <c r="C29" s="3" t="inlineStr">
        <is>
          <t>std_sat</t>
        </is>
      </c>
      <c r="D29" s="3">
        <f>SUMPRODUCT(('Colony Data'!$B$2:$B$54=$A29)*1)</f>
        <v/>
      </c>
      <c r="E29" s="3">
        <f>SUMPRODUCT(('Colony Data'!$B$2:$B$54=$A29)*('Colony Data'!$L$2:$L$54))</f>
        <v/>
      </c>
      <c r="F29" s="3">
        <f>SUMPRODUCT(('Colony Data'!$B$2:$B$54=$A29)*('Colony Data'!$L$2:$L$54)^2)</f>
        <v/>
      </c>
      <c r="G29" s="3">
        <f>IF(D29=0,"",E29/D29)</f>
        <v/>
      </c>
      <c r="H29" s="3">
        <f>IF(D29&lt;=1,"",SQRT((F29-(E29^2)/D29)/(D29-1)))</f>
        <v/>
      </c>
    </row>
    <row r="30">
      <c r="A30" s="2" t="inlineStr">
        <is>
          <t>ALE_plate3</t>
        </is>
      </c>
      <c r="B30" s="2" t="inlineStr">
        <is>
          <t>ALE</t>
        </is>
      </c>
      <c r="C30" s="2" t="inlineStr">
        <is>
          <t>std_val</t>
        </is>
      </c>
      <c r="D30" s="2">
        <f>SUMPRODUCT(('Colony Data'!$B$2:$B$54=$A30)*1)</f>
        <v/>
      </c>
      <c r="E30" s="2">
        <f>SUMPRODUCT(('Colony Data'!$B$2:$B$54=$A30)*('Colony Data'!$M$2:$M$54))</f>
        <v/>
      </c>
      <c r="F30" s="2">
        <f>SUMPRODUCT(('Colony Data'!$B$2:$B$54=$A30)*('Colony Data'!$M$2:$M$54)^2)</f>
        <v/>
      </c>
      <c r="G30" s="2">
        <f>IF(D30=0,"",E30/D30)</f>
        <v/>
      </c>
      <c r="H30" s="2">
        <f>IF(D30&lt;=1,"",SQRT((F30-(E30^2)/D30)/(D30-1)))</f>
        <v/>
      </c>
    </row>
    <row r="31">
      <c r="A31" s="3" t="inlineStr">
        <is>
          <t>ALE_plate3</t>
        </is>
      </c>
      <c r="B31" s="3" t="inlineStr">
        <is>
          <t>ALE</t>
        </is>
      </c>
      <c r="C31" s="3" t="inlineStr">
        <is>
          <t>texture_std</t>
        </is>
      </c>
      <c r="D31" s="3">
        <f>SUMPRODUCT(('Colony Data'!$B$2:$B$54=$A31)*1)</f>
        <v/>
      </c>
      <c r="E31" s="3">
        <f>SUMPRODUCT(('Colony Data'!$B$2:$B$54=$A31)*('Colony Data'!$N$2:$N$54))</f>
        <v/>
      </c>
      <c r="F31" s="3">
        <f>SUMPRODUCT(('Colony Data'!$B$2:$B$54=$A31)*('Colony Data'!$N$2:$N$54)^2)</f>
        <v/>
      </c>
      <c r="G31" s="3">
        <f>IF(D31=0,"",E31/D31)</f>
        <v/>
      </c>
      <c r="H31" s="3">
        <f>IF(D31&lt;=1,"",SQRT((F31-(E31^2)/D31)/(D31-1)))</f>
        <v/>
      </c>
    </row>
    <row r="32">
      <c r="A32" s="2" t="inlineStr">
        <is>
          <t>HMF_plate1</t>
        </is>
      </c>
      <c r="B32" s="2" t="inlineStr">
        <is>
          <t>HMF</t>
        </is>
      </c>
      <c r="C32" s="2" t="inlineStr">
        <is>
          <t>equiv_diameter</t>
        </is>
      </c>
      <c r="D32" s="2">
        <f>SUMPRODUCT(('Colony Data'!$B$2:$B$54=$A32)*1)</f>
        <v/>
      </c>
      <c r="E32" s="2">
        <f>SUMPRODUCT(('Colony Data'!$B$2:$B$54=$A32)*('Colony Data'!$E$2:$E$54))</f>
        <v/>
      </c>
      <c r="F32" s="2">
        <f>SUMPRODUCT(('Colony Data'!$B$2:$B$54=$A32)*('Colony Data'!$E$2:$E$54)^2)</f>
        <v/>
      </c>
      <c r="G32" s="2">
        <f>IF(D32=0,"",E32/D32)</f>
        <v/>
      </c>
      <c r="H32" s="2">
        <f>IF(D32&lt;=1,"",SQRT((F32-(E32^2)/D32)/(D32-1)))</f>
        <v/>
      </c>
    </row>
    <row r="33">
      <c r="A33" s="3" t="inlineStr">
        <is>
          <t>HMF_plate1</t>
        </is>
      </c>
      <c r="B33" s="3" t="inlineStr">
        <is>
          <t>HMF</t>
        </is>
      </c>
      <c r="C33" s="3" t="inlineStr">
        <is>
          <t>circularity</t>
        </is>
      </c>
      <c r="D33" s="3">
        <f>SUMPRODUCT(('Colony Data'!$B$2:$B$54=$A33)*1)</f>
        <v/>
      </c>
      <c r="E33" s="3">
        <f>SUMPRODUCT(('Colony Data'!$B$2:$B$54=$A33)*('Colony Data'!$F$2:$F$54))</f>
        <v/>
      </c>
      <c r="F33" s="3">
        <f>SUMPRODUCT(('Colony Data'!$B$2:$B$54=$A33)*('Colony Data'!$F$2:$F$54)^2)</f>
        <v/>
      </c>
      <c r="G33" s="3">
        <f>IF(D33=0,"",E33/D33)</f>
        <v/>
      </c>
      <c r="H33" s="3">
        <f>IF(D33&lt;=1,"",SQRT((F33-(E33^2)/D33)/(D33-1)))</f>
        <v/>
      </c>
    </row>
    <row r="34">
      <c r="A34" s="2" t="inlineStr">
        <is>
          <t>HMF_plate1</t>
        </is>
      </c>
      <c r="B34" s="2" t="inlineStr">
        <is>
          <t>HMF</t>
        </is>
      </c>
      <c r="C34" s="2" t="inlineStr">
        <is>
          <t>solidity</t>
        </is>
      </c>
      <c r="D34" s="2">
        <f>SUMPRODUCT(('Colony Data'!$B$2:$B$54=$A34)*1)</f>
        <v/>
      </c>
      <c r="E34" s="2">
        <f>SUMPRODUCT(('Colony Data'!$B$2:$B$54=$A34)*('Colony Data'!$G$2:$G$54))</f>
        <v/>
      </c>
      <c r="F34" s="2">
        <f>SUMPRODUCT(('Colony Data'!$B$2:$B$54=$A34)*('Colony Data'!$G$2:$G$54)^2)</f>
        <v/>
      </c>
      <c r="G34" s="2">
        <f>IF(D34=0,"",E34/D34)</f>
        <v/>
      </c>
      <c r="H34" s="2">
        <f>IF(D34&lt;=1,"",SQRT((F34-(E34^2)/D34)/(D34-1)))</f>
        <v/>
      </c>
    </row>
    <row r="35">
      <c r="A35" s="3" t="inlineStr">
        <is>
          <t>HMF_plate1</t>
        </is>
      </c>
      <c r="B35" s="3" t="inlineStr">
        <is>
          <t>HMF</t>
        </is>
      </c>
      <c r="C35" s="3" t="inlineStr">
        <is>
          <t>mean_hue</t>
        </is>
      </c>
      <c r="D35" s="3">
        <f>SUMPRODUCT(('Colony Data'!$B$2:$B$54=$A35)*1)</f>
        <v/>
      </c>
      <c r="E35" s="3">
        <f>SUMPRODUCT(('Colony Data'!$B$2:$B$54=$A35)*('Colony Data'!$H$2:$H$54))</f>
        <v/>
      </c>
      <c r="F35" s="3">
        <f>SUMPRODUCT(('Colony Data'!$B$2:$B$54=$A35)*('Colony Data'!$H$2:$H$54)^2)</f>
        <v/>
      </c>
      <c r="G35" s="3">
        <f>IF(D35=0,"",E35/D35)</f>
        <v/>
      </c>
      <c r="H35" s="3">
        <f>IF(D35&lt;=1,"",SQRT((F35-(E35^2)/D35)/(D35-1)))</f>
        <v/>
      </c>
    </row>
    <row r="36">
      <c r="A36" s="2" t="inlineStr">
        <is>
          <t>HMF_plate1</t>
        </is>
      </c>
      <c r="B36" s="2" t="inlineStr">
        <is>
          <t>HMF</t>
        </is>
      </c>
      <c r="C36" s="2" t="inlineStr">
        <is>
          <t>mean_sat</t>
        </is>
      </c>
      <c r="D36" s="2">
        <f>SUMPRODUCT(('Colony Data'!$B$2:$B$54=$A36)*1)</f>
        <v/>
      </c>
      <c r="E36" s="2">
        <f>SUMPRODUCT(('Colony Data'!$B$2:$B$54=$A36)*('Colony Data'!$I$2:$I$54))</f>
        <v/>
      </c>
      <c r="F36" s="2">
        <f>SUMPRODUCT(('Colony Data'!$B$2:$B$54=$A36)*('Colony Data'!$I$2:$I$54)^2)</f>
        <v/>
      </c>
      <c r="G36" s="2">
        <f>IF(D36=0,"",E36/D36)</f>
        <v/>
      </c>
      <c r="H36" s="2">
        <f>IF(D36&lt;=1,"",SQRT((F36-(E36^2)/D36)/(D36-1)))</f>
        <v/>
      </c>
    </row>
    <row r="37">
      <c r="A37" s="3" t="inlineStr">
        <is>
          <t>HMF_plate1</t>
        </is>
      </c>
      <c r="B37" s="3" t="inlineStr">
        <is>
          <t>HMF</t>
        </is>
      </c>
      <c r="C37" s="3" t="inlineStr">
        <is>
          <t>mean_val</t>
        </is>
      </c>
      <c r="D37" s="3">
        <f>SUMPRODUCT(('Colony Data'!$B$2:$B$54=$A37)*1)</f>
        <v/>
      </c>
      <c r="E37" s="3">
        <f>SUMPRODUCT(('Colony Data'!$B$2:$B$54=$A37)*('Colony Data'!$J$2:$J$54))</f>
        <v/>
      </c>
      <c r="F37" s="3">
        <f>SUMPRODUCT(('Colony Data'!$B$2:$B$54=$A37)*('Colony Data'!$J$2:$J$54)^2)</f>
        <v/>
      </c>
      <c r="G37" s="3">
        <f>IF(D37=0,"",E37/D37)</f>
        <v/>
      </c>
      <c r="H37" s="3">
        <f>IF(D37&lt;=1,"",SQRT((F37-(E37^2)/D37)/(D37-1)))</f>
        <v/>
      </c>
    </row>
    <row r="38">
      <c r="A38" s="2" t="inlineStr">
        <is>
          <t>HMF_plate1</t>
        </is>
      </c>
      <c r="B38" s="2" t="inlineStr">
        <is>
          <t>HMF</t>
        </is>
      </c>
      <c r="C38" s="2" t="inlineStr">
        <is>
          <t>std_hue</t>
        </is>
      </c>
      <c r="D38" s="2">
        <f>SUMPRODUCT(('Colony Data'!$B$2:$B$54=$A38)*1)</f>
        <v/>
      </c>
      <c r="E38" s="2">
        <f>SUMPRODUCT(('Colony Data'!$B$2:$B$54=$A38)*('Colony Data'!$K$2:$K$54))</f>
        <v/>
      </c>
      <c r="F38" s="2">
        <f>SUMPRODUCT(('Colony Data'!$B$2:$B$54=$A38)*('Colony Data'!$K$2:$K$54)^2)</f>
        <v/>
      </c>
      <c r="G38" s="2">
        <f>IF(D38=0,"",E38/D38)</f>
        <v/>
      </c>
      <c r="H38" s="2">
        <f>IF(D38&lt;=1,"",SQRT((F38-(E38^2)/D38)/(D38-1)))</f>
        <v/>
      </c>
    </row>
    <row r="39">
      <c r="A39" s="3" t="inlineStr">
        <is>
          <t>HMF_plate1</t>
        </is>
      </c>
      <c r="B39" s="3" t="inlineStr">
        <is>
          <t>HMF</t>
        </is>
      </c>
      <c r="C39" s="3" t="inlineStr">
        <is>
          <t>std_sat</t>
        </is>
      </c>
      <c r="D39" s="3">
        <f>SUMPRODUCT(('Colony Data'!$B$2:$B$54=$A39)*1)</f>
        <v/>
      </c>
      <c r="E39" s="3">
        <f>SUMPRODUCT(('Colony Data'!$B$2:$B$54=$A39)*('Colony Data'!$L$2:$L$54))</f>
        <v/>
      </c>
      <c r="F39" s="3">
        <f>SUMPRODUCT(('Colony Data'!$B$2:$B$54=$A39)*('Colony Data'!$L$2:$L$54)^2)</f>
        <v/>
      </c>
      <c r="G39" s="3">
        <f>IF(D39=0,"",E39/D39)</f>
        <v/>
      </c>
      <c r="H39" s="3">
        <f>IF(D39&lt;=1,"",SQRT((F39-(E39^2)/D39)/(D39-1)))</f>
        <v/>
      </c>
    </row>
    <row r="40">
      <c r="A40" s="2" t="inlineStr">
        <is>
          <t>HMF_plate1</t>
        </is>
      </c>
      <c r="B40" s="2" t="inlineStr">
        <is>
          <t>HMF</t>
        </is>
      </c>
      <c r="C40" s="2" t="inlineStr">
        <is>
          <t>std_val</t>
        </is>
      </c>
      <c r="D40" s="2">
        <f>SUMPRODUCT(('Colony Data'!$B$2:$B$54=$A40)*1)</f>
        <v/>
      </c>
      <c r="E40" s="2">
        <f>SUMPRODUCT(('Colony Data'!$B$2:$B$54=$A40)*('Colony Data'!$M$2:$M$54))</f>
        <v/>
      </c>
      <c r="F40" s="2">
        <f>SUMPRODUCT(('Colony Data'!$B$2:$B$54=$A40)*('Colony Data'!$M$2:$M$54)^2)</f>
        <v/>
      </c>
      <c r="G40" s="2">
        <f>IF(D40=0,"",E40/D40)</f>
        <v/>
      </c>
      <c r="H40" s="2">
        <f>IF(D40&lt;=1,"",SQRT((F40-(E40^2)/D40)/(D40-1)))</f>
        <v/>
      </c>
    </row>
    <row r="41">
      <c r="A41" s="3" t="inlineStr">
        <is>
          <t>HMF_plate1</t>
        </is>
      </c>
      <c r="B41" s="3" t="inlineStr">
        <is>
          <t>HMF</t>
        </is>
      </c>
      <c r="C41" s="3" t="inlineStr">
        <is>
          <t>texture_std</t>
        </is>
      </c>
      <c r="D41" s="3">
        <f>SUMPRODUCT(('Colony Data'!$B$2:$B$54=$A41)*1)</f>
        <v/>
      </c>
      <c r="E41" s="3">
        <f>SUMPRODUCT(('Colony Data'!$B$2:$B$54=$A41)*('Colony Data'!$N$2:$N$54))</f>
        <v/>
      </c>
      <c r="F41" s="3">
        <f>SUMPRODUCT(('Colony Data'!$B$2:$B$54=$A41)*('Colony Data'!$N$2:$N$54)^2)</f>
        <v/>
      </c>
      <c r="G41" s="3">
        <f>IF(D41=0,"",E41/D41)</f>
        <v/>
      </c>
      <c r="H41" s="3">
        <f>IF(D41&lt;=1,"",SQRT((F41-(E41^2)/D41)/(D41-1)))</f>
        <v/>
      </c>
    </row>
    <row r="42">
      <c r="A42" s="2" t="inlineStr">
        <is>
          <t>HMF_plate2</t>
        </is>
      </c>
      <c r="B42" s="2" t="inlineStr">
        <is>
          <t>HMF</t>
        </is>
      </c>
      <c r="C42" s="2" t="inlineStr">
        <is>
          <t>equiv_diameter</t>
        </is>
      </c>
      <c r="D42" s="2">
        <f>SUMPRODUCT(('Colony Data'!$B$2:$B$54=$A42)*1)</f>
        <v/>
      </c>
      <c r="E42" s="2">
        <f>SUMPRODUCT(('Colony Data'!$B$2:$B$54=$A42)*('Colony Data'!$E$2:$E$54))</f>
        <v/>
      </c>
      <c r="F42" s="2">
        <f>SUMPRODUCT(('Colony Data'!$B$2:$B$54=$A42)*('Colony Data'!$E$2:$E$54)^2)</f>
        <v/>
      </c>
      <c r="G42" s="2">
        <f>IF(D42=0,"",E42/D42)</f>
        <v/>
      </c>
      <c r="H42" s="2">
        <f>IF(D42&lt;=1,"",SQRT((F42-(E42^2)/D42)/(D42-1)))</f>
        <v/>
      </c>
    </row>
    <row r="43">
      <c r="A43" s="3" t="inlineStr">
        <is>
          <t>HMF_plate2</t>
        </is>
      </c>
      <c r="B43" s="3" t="inlineStr">
        <is>
          <t>HMF</t>
        </is>
      </c>
      <c r="C43" s="3" t="inlineStr">
        <is>
          <t>circularity</t>
        </is>
      </c>
      <c r="D43" s="3">
        <f>SUMPRODUCT(('Colony Data'!$B$2:$B$54=$A43)*1)</f>
        <v/>
      </c>
      <c r="E43" s="3">
        <f>SUMPRODUCT(('Colony Data'!$B$2:$B$54=$A43)*('Colony Data'!$F$2:$F$54))</f>
        <v/>
      </c>
      <c r="F43" s="3">
        <f>SUMPRODUCT(('Colony Data'!$B$2:$B$54=$A43)*('Colony Data'!$F$2:$F$54)^2)</f>
        <v/>
      </c>
      <c r="G43" s="3">
        <f>IF(D43=0,"",E43/D43)</f>
        <v/>
      </c>
      <c r="H43" s="3">
        <f>IF(D43&lt;=1,"",SQRT((F43-(E43^2)/D43)/(D43-1)))</f>
        <v/>
      </c>
    </row>
    <row r="44">
      <c r="A44" s="2" t="inlineStr">
        <is>
          <t>HMF_plate2</t>
        </is>
      </c>
      <c r="B44" s="2" t="inlineStr">
        <is>
          <t>HMF</t>
        </is>
      </c>
      <c r="C44" s="2" t="inlineStr">
        <is>
          <t>solidity</t>
        </is>
      </c>
      <c r="D44" s="2">
        <f>SUMPRODUCT(('Colony Data'!$B$2:$B$54=$A44)*1)</f>
        <v/>
      </c>
      <c r="E44" s="2">
        <f>SUMPRODUCT(('Colony Data'!$B$2:$B$54=$A44)*('Colony Data'!$G$2:$G$54))</f>
        <v/>
      </c>
      <c r="F44" s="2">
        <f>SUMPRODUCT(('Colony Data'!$B$2:$B$54=$A44)*('Colony Data'!$G$2:$G$54)^2)</f>
        <v/>
      </c>
      <c r="G44" s="2">
        <f>IF(D44=0,"",E44/D44)</f>
        <v/>
      </c>
      <c r="H44" s="2">
        <f>IF(D44&lt;=1,"",SQRT((F44-(E44^2)/D44)/(D44-1)))</f>
        <v/>
      </c>
    </row>
    <row r="45">
      <c r="A45" s="3" t="inlineStr">
        <is>
          <t>HMF_plate2</t>
        </is>
      </c>
      <c r="B45" s="3" t="inlineStr">
        <is>
          <t>HMF</t>
        </is>
      </c>
      <c r="C45" s="3" t="inlineStr">
        <is>
          <t>mean_hue</t>
        </is>
      </c>
      <c r="D45" s="3">
        <f>SUMPRODUCT(('Colony Data'!$B$2:$B$54=$A45)*1)</f>
        <v/>
      </c>
      <c r="E45" s="3">
        <f>SUMPRODUCT(('Colony Data'!$B$2:$B$54=$A45)*('Colony Data'!$H$2:$H$54))</f>
        <v/>
      </c>
      <c r="F45" s="3">
        <f>SUMPRODUCT(('Colony Data'!$B$2:$B$54=$A45)*('Colony Data'!$H$2:$H$54)^2)</f>
        <v/>
      </c>
      <c r="G45" s="3">
        <f>IF(D45=0,"",E45/D45)</f>
        <v/>
      </c>
      <c r="H45" s="3">
        <f>IF(D45&lt;=1,"",SQRT((F45-(E45^2)/D45)/(D45-1)))</f>
        <v/>
      </c>
    </row>
    <row r="46">
      <c r="A46" s="2" t="inlineStr">
        <is>
          <t>HMF_plate2</t>
        </is>
      </c>
      <c r="B46" s="2" t="inlineStr">
        <is>
          <t>HMF</t>
        </is>
      </c>
      <c r="C46" s="2" t="inlineStr">
        <is>
          <t>mean_sat</t>
        </is>
      </c>
      <c r="D46" s="2">
        <f>SUMPRODUCT(('Colony Data'!$B$2:$B$54=$A46)*1)</f>
        <v/>
      </c>
      <c r="E46" s="2">
        <f>SUMPRODUCT(('Colony Data'!$B$2:$B$54=$A46)*('Colony Data'!$I$2:$I$54))</f>
        <v/>
      </c>
      <c r="F46" s="2">
        <f>SUMPRODUCT(('Colony Data'!$B$2:$B$54=$A46)*('Colony Data'!$I$2:$I$54)^2)</f>
        <v/>
      </c>
      <c r="G46" s="2">
        <f>IF(D46=0,"",E46/D46)</f>
        <v/>
      </c>
      <c r="H46" s="2">
        <f>IF(D46&lt;=1,"",SQRT((F46-(E46^2)/D46)/(D46-1)))</f>
        <v/>
      </c>
    </row>
    <row r="47">
      <c r="A47" s="3" t="inlineStr">
        <is>
          <t>HMF_plate2</t>
        </is>
      </c>
      <c r="B47" s="3" t="inlineStr">
        <is>
          <t>HMF</t>
        </is>
      </c>
      <c r="C47" s="3" t="inlineStr">
        <is>
          <t>mean_val</t>
        </is>
      </c>
      <c r="D47" s="3">
        <f>SUMPRODUCT(('Colony Data'!$B$2:$B$54=$A47)*1)</f>
        <v/>
      </c>
      <c r="E47" s="3">
        <f>SUMPRODUCT(('Colony Data'!$B$2:$B$54=$A47)*('Colony Data'!$J$2:$J$54))</f>
        <v/>
      </c>
      <c r="F47" s="3">
        <f>SUMPRODUCT(('Colony Data'!$B$2:$B$54=$A47)*('Colony Data'!$J$2:$J$54)^2)</f>
        <v/>
      </c>
      <c r="G47" s="3">
        <f>IF(D47=0,"",E47/D47)</f>
        <v/>
      </c>
      <c r="H47" s="3">
        <f>IF(D47&lt;=1,"",SQRT((F47-(E47^2)/D47)/(D47-1)))</f>
        <v/>
      </c>
    </row>
    <row r="48">
      <c r="A48" s="2" t="inlineStr">
        <is>
          <t>HMF_plate2</t>
        </is>
      </c>
      <c r="B48" s="2" t="inlineStr">
        <is>
          <t>HMF</t>
        </is>
      </c>
      <c r="C48" s="2" t="inlineStr">
        <is>
          <t>std_hue</t>
        </is>
      </c>
      <c r="D48" s="2">
        <f>SUMPRODUCT(('Colony Data'!$B$2:$B$54=$A48)*1)</f>
        <v/>
      </c>
      <c r="E48" s="2">
        <f>SUMPRODUCT(('Colony Data'!$B$2:$B$54=$A48)*('Colony Data'!$K$2:$K$54))</f>
        <v/>
      </c>
      <c r="F48" s="2">
        <f>SUMPRODUCT(('Colony Data'!$B$2:$B$54=$A48)*('Colony Data'!$K$2:$K$54)^2)</f>
        <v/>
      </c>
      <c r="G48" s="2">
        <f>IF(D48=0,"",E48/D48)</f>
        <v/>
      </c>
      <c r="H48" s="2">
        <f>IF(D48&lt;=1,"",SQRT((F48-(E48^2)/D48)/(D48-1)))</f>
        <v/>
      </c>
    </row>
    <row r="49">
      <c r="A49" s="3" t="inlineStr">
        <is>
          <t>HMF_plate2</t>
        </is>
      </c>
      <c r="B49" s="3" t="inlineStr">
        <is>
          <t>HMF</t>
        </is>
      </c>
      <c r="C49" s="3" t="inlineStr">
        <is>
          <t>std_sat</t>
        </is>
      </c>
      <c r="D49" s="3">
        <f>SUMPRODUCT(('Colony Data'!$B$2:$B$54=$A49)*1)</f>
        <v/>
      </c>
      <c r="E49" s="3">
        <f>SUMPRODUCT(('Colony Data'!$B$2:$B$54=$A49)*('Colony Data'!$L$2:$L$54))</f>
        <v/>
      </c>
      <c r="F49" s="3">
        <f>SUMPRODUCT(('Colony Data'!$B$2:$B$54=$A49)*('Colony Data'!$L$2:$L$54)^2)</f>
        <v/>
      </c>
      <c r="G49" s="3">
        <f>IF(D49=0,"",E49/D49)</f>
        <v/>
      </c>
      <c r="H49" s="3">
        <f>IF(D49&lt;=1,"",SQRT((F49-(E49^2)/D49)/(D49-1)))</f>
        <v/>
      </c>
    </row>
    <row r="50">
      <c r="A50" s="2" t="inlineStr">
        <is>
          <t>HMF_plate2</t>
        </is>
      </c>
      <c r="B50" s="2" t="inlineStr">
        <is>
          <t>HMF</t>
        </is>
      </c>
      <c r="C50" s="2" t="inlineStr">
        <is>
          <t>std_val</t>
        </is>
      </c>
      <c r="D50" s="2">
        <f>SUMPRODUCT(('Colony Data'!$B$2:$B$54=$A50)*1)</f>
        <v/>
      </c>
      <c r="E50" s="2">
        <f>SUMPRODUCT(('Colony Data'!$B$2:$B$54=$A50)*('Colony Data'!$M$2:$M$54))</f>
        <v/>
      </c>
      <c r="F50" s="2">
        <f>SUMPRODUCT(('Colony Data'!$B$2:$B$54=$A50)*('Colony Data'!$M$2:$M$54)^2)</f>
        <v/>
      </c>
      <c r="G50" s="2">
        <f>IF(D50=0,"",E50/D50)</f>
        <v/>
      </c>
      <c r="H50" s="2">
        <f>IF(D50&lt;=1,"",SQRT((F50-(E50^2)/D50)/(D50-1)))</f>
        <v/>
      </c>
    </row>
    <row r="51">
      <c r="A51" s="3" t="inlineStr">
        <is>
          <t>HMF_plate2</t>
        </is>
      </c>
      <c r="B51" s="3" t="inlineStr">
        <is>
          <t>HMF</t>
        </is>
      </c>
      <c r="C51" s="3" t="inlineStr">
        <is>
          <t>texture_std</t>
        </is>
      </c>
      <c r="D51" s="3">
        <f>SUMPRODUCT(('Colony Data'!$B$2:$B$54=$A51)*1)</f>
        <v/>
      </c>
      <c r="E51" s="3">
        <f>SUMPRODUCT(('Colony Data'!$B$2:$B$54=$A51)*('Colony Data'!$N$2:$N$54))</f>
        <v/>
      </c>
      <c r="F51" s="3">
        <f>SUMPRODUCT(('Colony Data'!$B$2:$B$54=$A51)*('Colony Data'!$N$2:$N$54)^2)</f>
        <v/>
      </c>
      <c r="G51" s="3">
        <f>IF(D51=0,"",E51/D51)</f>
        <v/>
      </c>
      <c r="H51" s="3">
        <f>IF(D51&lt;=1,"",SQRT((F51-(E51^2)/D51)/(D51-1)))</f>
        <v/>
      </c>
    </row>
    <row r="52">
      <c r="A52" s="2" t="inlineStr">
        <is>
          <t>HS19_plate1</t>
        </is>
      </c>
      <c r="B52" s="2" t="inlineStr">
        <is>
          <t>HS19</t>
        </is>
      </c>
      <c r="C52" s="2" t="inlineStr">
        <is>
          <t>equiv_diameter</t>
        </is>
      </c>
      <c r="D52" s="2">
        <f>SUMPRODUCT(('Colony Data'!$B$2:$B$54=$A52)*1)</f>
        <v/>
      </c>
      <c r="E52" s="2">
        <f>SUMPRODUCT(('Colony Data'!$B$2:$B$54=$A52)*('Colony Data'!$E$2:$E$54))</f>
        <v/>
      </c>
      <c r="F52" s="2">
        <f>SUMPRODUCT(('Colony Data'!$B$2:$B$54=$A52)*('Colony Data'!$E$2:$E$54)^2)</f>
        <v/>
      </c>
      <c r="G52" s="2">
        <f>IF(D52=0,"",E52/D52)</f>
        <v/>
      </c>
      <c r="H52" s="2">
        <f>IF(D52&lt;=1,"",SQRT((F52-(E52^2)/D52)/(D52-1)))</f>
        <v/>
      </c>
    </row>
    <row r="53">
      <c r="A53" s="3" t="inlineStr">
        <is>
          <t>HS19_plate1</t>
        </is>
      </c>
      <c r="B53" s="3" t="inlineStr">
        <is>
          <t>HS19</t>
        </is>
      </c>
      <c r="C53" s="3" t="inlineStr">
        <is>
          <t>circularity</t>
        </is>
      </c>
      <c r="D53" s="3">
        <f>SUMPRODUCT(('Colony Data'!$B$2:$B$54=$A53)*1)</f>
        <v/>
      </c>
      <c r="E53" s="3">
        <f>SUMPRODUCT(('Colony Data'!$B$2:$B$54=$A53)*('Colony Data'!$F$2:$F$54))</f>
        <v/>
      </c>
      <c r="F53" s="3">
        <f>SUMPRODUCT(('Colony Data'!$B$2:$B$54=$A53)*('Colony Data'!$F$2:$F$54)^2)</f>
        <v/>
      </c>
      <c r="G53" s="3">
        <f>IF(D53=0,"",E53/D53)</f>
        <v/>
      </c>
      <c r="H53" s="3">
        <f>IF(D53&lt;=1,"",SQRT((F53-(E53^2)/D53)/(D53-1)))</f>
        <v/>
      </c>
    </row>
    <row r="54">
      <c r="A54" s="2" t="inlineStr">
        <is>
          <t>HS19_plate1</t>
        </is>
      </c>
      <c r="B54" s="2" t="inlineStr">
        <is>
          <t>HS19</t>
        </is>
      </c>
      <c r="C54" s="2" t="inlineStr">
        <is>
          <t>solidity</t>
        </is>
      </c>
      <c r="D54" s="2">
        <f>SUMPRODUCT(('Colony Data'!$B$2:$B$54=$A54)*1)</f>
        <v/>
      </c>
      <c r="E54" s="2">
        <f>SUMPRODUCT(('Colony Data'!$B$2:$B$54=$A54)*('Colony Data'!$G$2:$G$54))</f>
        <v/>
      </c>
      <c r="F54" s="2">
        <f>SUMPRODUCT(('Colony Data'!$B$2:$B$54=$A54)*('Colony Data'!$G$2:$G$54)^2)</f>
        <v/>
      </c>
      <c r="G54" s="2">
        <f>IF(D54=0,"",E54/D54)</f>
        <v/>
      </c>
      <c r="H54" s="2">
        <f>IF(D54&lt;=1,"",SQRT((F54-(E54^2)/D54)/(D54-1)))</f>
        <v/>
      </c>
    </row>
    <row r="55">
      <c r="A55" s="3" t="inlineStr">
        <is>
          <t>HS19_plate1</t>
        </is>
      </c>
      <c r="B55" s="3" t="inlineStr">
        <is>
          <t>HS19</t>
        </is>
      </c>
      <c r="C55" s="3" t="inlineStr">
        <is>
          <t>mean_hue</t>
        </is>
      </c>
      <c r="D55" s="3">
        <f>SUMPRODUCT(('Colony Data'!$B$2:$B$54=$A55)*1)</f>
        <v/>
      </c>
      <c r="E55" s="3">
        <f>SUMPRODUCT(('Colony Data'!$B$2:$B$54=$A55)*('Colony Data'!$H$2:$H$54))</f>
        <v/>
      </c>
      <c r="F55" s="3">
        <f>SUMPRODUCT(('Colony Data'!$B$2:$B$54=$A55)*('Colony Data'!$H$2:$H$54)^2)</f>
        <v/>
      </c>
      <c r="G55" s="3">
        <f>IF(D55=0,"",E55/D55)</f>
        <v/>
      </c>
      <c r="H55" s="3">
        <f>IF(D55&lt;=1,"",SQRT((F55-(E55^2)/D55)/(D55-1)))</f>
        <v/>
      </c>
    </row>
    <row r="56">
      <c r="A56" s="2" t="inlineStr">
        <is>
          <t>HS19_plate1</t>
        </is>
      </c>
      <c r="B56" s="2" t="inlineStr">
        <is>
          <t>HS19</t>
        </is>
      </c>
      <c r="C56" s="2" t="inlineStr">
        <is>
          <t>mean_sat</t>
        </is>
      </c>
      <c r="D56" s="2">
        <f>SUMPRODUCT(('Colony Data'!$B$2:$B$54=$A56)*1)</f>
        <v/>
      </c>
      <c r="E56" s="2">
        <f>SUMPRODUCT(('Colony Data'!$B$2:$B$54=$A56)*('Colony Data'!$I$2:$I$54))</f>
        <v/>
      </c>
      <c r="F56" s="2">
        <f>SUMPRODUCT(('Colony Data'!$B$2:$B$54=$A56)*('Colony Data'!$I$2:$I$54)^2)</f>
        <v/>
      </c>
      <c r="G56" s="2">
        <f>IF(D56=0,"",E56/D56)</f>
        <v/>
      </c>
      <c r="H56" s="2">
        <f>IF(D56&lt;=1,"",SQRT((F56-(E56^2)/D56)/(D56-1)))</f>
        <v/>
      </c>
    </row>
    <row r="57">
      <c r="A57" s="3" t="inlineStr">
        <is>
          <t>HS19_plate1</t>
        </is>
      </c>
      <c r="B57" s="3" t="inlineStr">
        <is>
          <t>HS19</t>
        </is>
      </c>
      <c r="C57" s="3" t="inlineStr">
        <is>
          <t>mean_val</t>
        </is>
      </c>
      <c r="D57" s="3">
        <f>SUMPRODUCT(('Colony Data'!$B$2:$B$54=$A57)*1)</f>
        <v/>
      </c>
      <c r="E57" s="3">
        <f>SUMPRODUCT(('Colony Data'!$B$2:$B$54=$A57)*('Colony Data'!$J$2:$J$54))</f>
        <v/>
      </c>
      <c r="F57" s="3">
        <f>SUMPRODUCT(('Colony Data'!$B$2:$B$54=$A57)*('Colony Data'!$J$2:$J$54)^2)</f>
        <v/>
      </c>
      <c r="G57" s="3">
        <f>IF(D57=0,"",E57/D57)</f>
        <v/>
      </c>
      <c r="H57" s="3">
        <f>IF(D57&lt;=1,"",SQRT((F57-(E57^2)/D57)/(D57-1)))</f>
        <v/>
      </c>
    </row>
    <row r="58">
      <c r="A58" s="2" t="inlineStr">
        <is>
          <t>HS19_plate1</t>
        </is>
      </c>
      <c r="B58" s="2" t="inlineStr">
        <is>
          <t>HS19</t>
        </is>
      </c>
      <c r="C58" s="2" t="inlineStr">
        <is>
          <t>std_hue</t>
        </is>
      </c>
      <c r="D58" s="2">
        <f>SUMPRODUCT(('Colony Data'!$B$2:$B$54=$A58)*1)</f>
        <v/>
      </c>
      <c r="E58" s="2">
        <f>SUMPRODUCT(('Colony Data'!$B$2:$B$54=$A58)*('Colony Data'!$K$2:$K$54))</f>
        <v/>
      </c>
      <c r="F58" s="2">
        <f>SUMPRODUCT(('Colony Data'!$B$2:$B$54=$A58)*('Colony Data'!$K$2:$K$54)^2)</f>
        <v/>
      </c>
      <c r="G58" s="2">
        <f>IF(D58=0,"",E58/D58)</f>
        <v/>
      </c>
      <c r="H58" s="2">
        <f>IF(D58&lt;=1,"",SQRT((F58-(E58^2)/D58)/(D58-1)))</f>
        <v/>
      </c>
    </row>
    <row r="59">
      <c r="A59" s="3" t="inlineStr">
        <is>
          <t>HS19_plate1</t>
        </is>
      </c>
      <c r="B59" s="3" t="inlineStr">
        <is>
          <t>HS19</t>
        </is>
      </c>
      <c r="C59" s="3" t="inlineStr">
        <is>
          <t>std_sat</t>
        </is>
      </c>
      <c r="D59" s="3">
        <f>SUMPRODUCT(('Colony Data'!$B$2:$B$54=$A59)*1)</f>
        <v/>
      </c>
      <c r="E59" s="3">
        <f>SUMPRODUCT(('Colony Data'!$B$2:$B$54=$A59)*('Colony Data'!$L$2:$L$54))</f>
        <v/>
      </c>
      <c r="F59" s="3">
        <f>SUMPRODUCT(('Colony Data'!$B$2:$B$54=$A59)*('Colony Data'!$L$2:$L$54)^2)</f>
        <v/>
      </c>
      <c r="G59" s="3">
        <f>IF(D59=0,"",E59/D59)</f>
        <v/>
      </c>
      <c r="H59" s="3">
        <f>IF(D59&lt;=1,"",SQRT((F59-(E59^2)/D59)/(D59-1)))</f>
        <v/>
      </c>
    </row>
    <row r="60">
      <c r="A60" s="2" t="inlineStr">
        <is>
          <t>HS19_plate1</t>
        </is>
      </c>
      <c r="B60" s="2" t="inlineStr">
        <is>
          <t>HS19</t>
        </is>
      </c>
      <c r="C60" s="2" t="inlineStr">
        <is>
          <t>std_val</t>
        </is>
      </c>
      <c r="D60" s="2">
        <f>SUMPRODUCT(('Colony Data'!$B$2:$B$54=$A60)*1)</f>
        <v/>
      </c>
      <c r="E60" s="2">
        <f>SUMPRODUCT(('Colony Data'!$B$2:$B$54=$A60)*('Colony Data'!$M$2:$M$54))</f>
        <v/>
      </c>
      <c r="F60" s="2">
        <f>SUMPRODUCT(('Colony Data'!$B$2:$B$54=$A60)*('Colony Data'!$M$2:$M$54)^2)</f>
        <v/>
      </c>
      <c r="G60" s="2">
        <f>IF(D60=0,"",E60/D60)</f>
        <v/>
      </c>
      <c r="H60" s="2">
        <f>IF(D60&lt;=1,"",SQRT((F60-(E60^2)/D60)/(D60-1)))</f>
        <v/>
      </c>
    </row>
    <row r="61">
      <c r="A61" s="3" t="inlineStr">
        <is>
          <t>HS19_plate1</t>
        </is>
      </c>
      <c r="B61" s="3" t="inlineStr">
        <is>
          <t>HS19</t>
        </is>
      </c>
      <c r="C61" s="3" t="inlineStr">
        <is>
          <t>texture_std</t>
        </is>
      </c>
      <c r="D61" s="3">
        <f>SUMPRODUCT(('Colony Data'!$B$2:$B$54=$A61)*1)</f>
        <v/>
      </c>
      <c r="E61" s="3">
        <f>SUMPRODUCT(('Colony Data'!$B$2:$B$54=$A61)*('Colony Data'!$N$2:$N$54))</f>
        <v/>
      </c>
      <c r="F61" s="3">
        <f>SUMPRODUCT(('Colony Data'!$B$2:$B$54=$A61)*('Colony Data'!$N$2:$N$54)^2)</f>
        <v/>
      </c>
      <c r="G61" s="3">
        <f>IF(D61=0,"",E61/D61)</f>
        <v/>
      </c>
      <c r="H61" s="3">
        <f>IF(D61&lt;=1,"",SQRT((F61-(E61^2)/D61)/(D61-1)))</f>
        <v/>
      </c>
    </row>
    <row r="62">
      <c r="A62" s="2" t="inlineStr">
        <is>
          <t>HS19_plate2</t>
        </is>
      </c>
      <c r="B62" s="2" t="inlineStr">
        <is>
          <t>HS19</t>
        </is>
      </c>
      <c r="C62" s="2" t="inlineStr">
        <is>
          <t>equiv_diameter</t>
        </is>
      </c>
      <c r="D62" s="2">
        <f>SUMPRODUCT(('Colony Data'!$B$2:$B$54=$A62)*1)</f>
        <v/>
      </c>
      <c r="E62" s="2">
        <f>SUMPRODUCT(('Colony Data'!$B$2:$B$54=$A62)*('Colony Data'!$E$2:$E$54))</f>
        <v/>
      </c>
      <c r="F62" s="2">
        <f>SUMPRODUCT(('Colony Data'!$B$2:$B$54=$A62)*('Colony Data'!$E$2:$E$54)^2)</f>
        <v/>
      </c>
      <c r="G62" s="2">
        <f>IF(D62=0,"",E62/D62)</f>
        <v/>
      </c>
      <c r="H62" s="2">
        <f>IF(D62&lt;=1,"",SQRT((F62-(E62^2)/D62)/(D62-1)))</f>
        <v/>
      </c>
    </row>
    <row r="63">
      <c r="A63" s="3" t="inlineStr">
        <is>
          <t>HS19_plate2</t>
        </is>
      </c>
      <c r="B63" s="3" t="inlineStr">
        <is>
          <t>HS19</t>
        </is>
      </c>
      <c r="C63" s="3" t="inlineStr">
        <is>
          <t>circularity</t>
        </is>
      </c>
      <c r="D63" s="3">
        <f>SUMPRODUCT(('Colony Data'!$B$2:$B$54=$A63)*1)</f>
        <v/>
      </c>
      <c r="E63" s="3">
        <f>SUMPRODUCT(('Colony Data'!$B$2:$B$54=$A63)*('Colony Data'!$F$2:$F$54))</f>
        <v/>
      </c>
      <c r="F63" s="3">
        <f>SUMPRODUCT(('Colony Data'!$B$2:$B$54=$A63)*('Colony Data'!$F$2:$F$54)^2)</f>
        <v/>
      </c>
      <c r="G63" s="3">
        <f>IF(D63=0,"",E63/D63)</f>
        <v/>
      </c>
      <c r="H63" s="3">
        <f>IF(D63&lt;=1,"",SQRT((F63-(E63^2)/D63)/(D63-1)))</f>
        <v/>
      </c>
    </row>
    <row r="64">
      <c r="A64" s="2" t="inlineStr">
        <is>
          <t>HS19_plate2</t>
        </is>
      </c>
      <c r="B64" s="2" t="inlineStr">
        <is>
          <t>HS19</t>
        </is>
      </c>
      <c r="C64" s="2" t="inlineStr">
        <is>
          <t>solidity</t>
        </is>
      </c>
      <c r="D64" s="2">
        <f>SUMPRODUCT(('Colony Data'!$B$2:$B$54=$A64)*1)</f>
        <v/>
      </c>
      <c r="E64" s="2">
        <f>SUMPRODUCT(('Colony Data'!$B$2:$B$54=$A64)*('Colony Data'!$G$2:$G$54))</f>
        <v/>
      </c>
      <c r="F64" s="2">
        <f>SUMPRODUCT(('Colony Data'!$B$2:$B$54=$A64)*('Colony Data'!$G$2:$G$54)^2)</f>
        <v/>
      </c>
      <c r="G64" s="2">
        <f>IF(D64=0,"",E64/D64)</f>
        <v/>
      </c>
      <c r="H64" s="2">
        <f>IF(D64&lt;=1,"",SQRT((F64-(E64^2)/D64)/(D64-1)))</f>
        <v/>
      </c>
    </row>
    <row r="65">
      <c r="A65" s="3" t="inlineStr">
        <is>
          <t>HS19_plate2</t>
        </is>
      </c>
      <c r="B65" s="3" t="inlineStr">
        <is>
          <t>HS19</t>
        </is>
      </c>
      <c r="C65" s="3" t="inlineStr">
        <is>
          <t>mean_hue</t>
        </is>
      </c>
      <c r="D65" s="3">
        <f>SUMPRODUCT(('Colony Data'!$B$2:$B$54=$A65)*1)</f>
        <v/>
      </c>
      <c r="E65" s="3">
        <f>SUMPRODUCT(('Colony Data'!$B$2:$B$54=$A65)*('Colony Data'!$H$2:$H$54))</f>
        <v/>
      </c>
      <c r="F65" s="3">
        <f>SUMPRODUCT(('Colony Data'!$B$2:$B$54=$A65)*('Colony Data'!$H$2:$H$54)^2)</f>
        <v/>
      </c>
      <c r="G65" s="3">
        <f>IF(D65=0,"",E65/D65)</f>
        <v/>
      </c>
      <c r="H65" s="3">
        <f>IF(D65&lt;=1,"",SQRT((F65-(E65^2)/D65)/(D65-1)))</f>
        <v/>
      </c>
    </row>
    <row r="66">
      <c r="A66" s="2" t="inlineStr">
        <is>
          <t>HS19_plate2</t>
        </is>
      </c>
      <c r="B66" s="2" t="inlineStr">
        <is>
          <t>HS19</t>
        </is>
      </c>
      <c r="C66" s="2" t="inlineStr">
        <is>
          <t>mean_sat</t>
        </is>
      </c>
      <c r="D66" s="2">
        <f>SUMPRODUCT(('Colony Data'!$B$2:$B$54=$A66)*1)</f>
        <v/>
      </c>
      <c r="E66" s="2">
        <f>SUMPRODUCT(('Colony Data'!$B$2:$B$54=$A66)*('Colony Data'!$I$2:$I$54))</f>
        <v/>
      </c>
      <c r="F66" s="2">
        <f>SUMPRODUCT(('Colony Data'!$B$2:$B$54=$A66)*('Colony Data'!$I$2:$I$54)^2)</f>
        <v/>
      </c>
      <c r="G66" s="2">
        <f>IF(D66=0,"",E66/D66)</f>
        <v/>
      </c>
      <c r="H66" s="2">
        <f>IF(D66&lt;=1,"",SQRT((F66-(E66^2)/D66)/(D66-1)))</f>
        <v/>
      </c>
    </row>
    <row r="67">
      <c r="A67" s="3" t="inlineStr">
        <is>
          <t>HS19_plate2</t>
        </is>
      </c>
      <c r="B67" s="3" t="inlineStr">
        <is>
          <t>HS19</t>
        </is>
      </c>
      <c r="C67" s="3" t="inlineStr">
        <is>
          <t>mean_val</t>
        </is>
      </c>
      <c r="D67" s="3">
        <f>SUMPRODUCT(('Colony Data'!$B$2:$B$54=$A67)*1)</f>
        <v/>
      </c>
      <c r="E67" s="3">
        <f>SUMPRODUCT(('Colony Data'!$B$2:$B$54=$A67)*('Colony Data'!$J$2:$J$54))</f>
        <v/>
      </c>
      <c r="F67" s="3">
        <f>SUMPRODUCT(('Colony Data'!$B$2:$B$54=$A67)*('Colony Data'!$J$2:$J$54)^2)</f>
        <v/>
      </c>
      <c r="G67" s="3">
        <f>IF(D67=0,"",E67/D67)</f>
        <v/>
      </c>
      <c r="H67" s="3">
        <f>IF(D67&lt;=1,"",SQRT((F67-(E67^2)/D67)/(D67-1)))</f>
        <v/>
      </c>
    </row>
    <row r="68">
      <c r="A68" s="2" t="inlineStr">
        <is>
          <t>HS19_plate2</t>
        </is>
      </c>
      <c r="B68" s="2" t="inlineStr">
        <is>
          <t>HS19</t>
        </is>
      </c>
      <c r="C68" s="2" t="inlineStr">
        <is>
          <t>std_hue</t>
        </is>
      </c>
      <c r="D68" s="2">
        <f>SUMPRODUCT(('Colony Data'!$B$2:$B$54=$A68)*1)</f>
        <v/>
      </c>
      <c r="E68" s="2">
        <f>SUMPRODUCT(('Colony Data'!$B$2:$B$54=$A68)*('Colony Data'!$K$2:$K$54))</f>
        <v/>
      </c>
      <c r="F68" s="2">
        <f>SUMPRODUCT(('Colony Data'!$B$2:$B$54=$A68)*('Colony Data'!$K$2:$K$54)^2)</f>
        <v/>
      </c>
      <c r="G68" s="2">
        <f>IF(D68=0,"",E68/D68)</f>
        <v/>
      </c>
      <c r="H68" s="2">
        <f>IF(D68&lt;=1,"",SQRT((F68-(E68^2)/D68)/(D68-1)))</f>
        <v/>
      </c>
    </row>
    <row r="69">
      <c r="A69" s="3" t="inlineStr">
        <is>
          <t>HS19_plate2</t>
        </is>
      </c>
      <c r="B69" s="3" t="inlineStr">
        <is>
          <t>HS19</t>
        </is>
      </c>
      <c r="C69" s="3" t="inlineStr">
        <is>
          <t>std_sat</t>
        </is>
      </c>
      <c r="D69" s="3">
        <f>SUMPRODUCT(('Colony Data'!$B$2:$B$54=$A69)*1)</f>
        <v/>
      </c>
      <c r="E69" s="3">
        <f>SUMPRODUCT(('Colony Data'!$B$2:$B$54=$A69)*('Colony Data'!$L$2:$L$54))</f>
        <v/>
      </c>
      <c r="F69" s="3">
        <f>SUMPRODUCT(('Colony Data'!$B$2:$B$54=$A69)*('Colony Data'!$L$2:$L$54)^2)</f>
        <v/>
      </c>
      <c r="G69" s="3">
        <f>IF(D69=0,"",E69/D69)</f>
        <v/>
      </c>
      <c r="H69" s="3">
        <f>IF(D69&lt;=1,"",SQRT((F69-(E69^2)/D69)/(D69-1)))</f>
        <v/>
      </c>
    </row>
    <row r="70">
      <c r="A70" s="2" t="inlineStr">
        <is>
          <t>HS19_plate2</t>
        </is>
      </c>
      <c r="B70" s="2" t="inlineStr">
        <is>
          <t>HS19</t>
        </is>
      </c>
      <c r="C70" s="2" t="inlineStr">
        <is>
          <t>std_val</t>
        </is>
      </c>
      <c r="D70" s="2">
        <f>SUMPRODUCT(('Colony Data'!$B$2:$B$54=$A70)*1)</f>
        <v/>
      </c>
      <c r="E70" s="2">
        <f>SUMPRODUCT(('Colony Data'!$B$2:$B$54=$A70)*('Colony Data'!$M$2:$M$54))</f>
        <v/>
      </c>
      <c r="F70" s="2">
        <f>SUMPRODUCT(('Colony Data'!$B$2:$B$54=$A70)*('Colony Data'!$M$2:$M$54)^2)</f>
        <v/>
      </c>
      <c r="G70" s="2">
        <f>IF(D70=0,"",E70/D70)</f>
        <v/>
      </c>
      <c r="H70" s="2">
        <f>IF(D70&lt;=1,"",SQRT((F70-(E70^2)/D70)/(D70-1)))</f>
        <v/>
      </c>
    </row>
    <row r="71">
      <c r="A71" s="3" t="inlineStr">
        <is>
          <t>HS19_plate2</t>
        </is>
      </c>
      <c r="B71" s="3" t="inlineStr">
        <is>
          <t>HS19</t>
        </is>
      </c>
      <c r="C71" s="3" t="inlineStr">
        <is>
          <t>texture_std</t>
        </is>
      </c>
      <c r="D71" s="3">
        <f>SUMPRODUCT(('Colony Data'!$B$2:$B$54=$A71)*1)</f>
        <v/>
      </c>
      <c r="E71" s="3">
        <f>SUMPRODUCT(('Colony Data'!$B$2:$B$54=$A71)*('Colony Data'!$N$2:$N$54))</f>
        <v/>
      </c>
      <c r="F71" s="3">
        <f>SUMPRODUCT(('Colony Data'!$B$2:$B$54=$A71)*('Colony Data'!$N$2:$N$54)^2)</f>
        <v/>
      </c>
      <c r="G71" s="3">
        <f>IF(D71=0,"",E71/D71)</f>
        <v/>
      </c>
      <c r="H71" s="3">
        <f>IF(D71&lt;=1,"",SQRT((F71-(E71^2)/D71)/(D71-1)))</f>
        <v/>
      </c>
    </row>
    <row r="72">
      <c r="A72" s="2" t="inlineStr">
        <is>
          <t>HS19_plate3</t>
        </is>
      </c>
      <c r="B72" s="2" t="inlineStr">
        <is>
          <t>HS19</t>
        </is>
      </c>
      <c r="C72" s="2" t="inlineStr">
        <is>
          <t>equiv_diameter</t>
        </is>
      </c>
      <c r="D72" s="2">
        <f>SUMPRODUCT(('Colony Data'!$B$2:$B$54=$A72)*1)</f>
        <v/>
      </c>
      <c r="E72" s="2">
        <f>SUMPRODUCT(('Colony Data'!$B$2:$B$54=$A72)*('Colony Data'!$E$2:$E$54))</f>
        <v/>
      </c>
      <c r="F72" s="2">
        <f>SUMPRODUCT(('Colony Data'!$B$2:$B$54=$A72)*('Colony Data'!$E$2:$E$54)^2)</f>
        <v/>
      </c>
      <c r="G72" s="2">
        <f>IF(D72=0,"",E72/D72)</f>
        <v/>
      </c>
      <c r="H72" s="2">
        <f>IF(D72&lt;=1,"",SQRT((F72-(E72^2)/D72)/(D72-1)))</f>
        <v/>
      </c>
    </row>
    <row r="73">
      <c r="A73" s="3" t="inlineStr">
        <is>
          <t>HS19_plate3</t>
        </is>
      </c>
      <c r="B73" s="3" t="inlineStr">
        <is>
          <t>HS19</t>
        </is>
      </c>
      <c r="C73" s="3" t="inlineStr">
        <is>
          <t>circularity</t>
        </is>
      </c>
      <c r="D73" s="3">
        <f>SUMPRODUCT(('Colony Data'!$B$2:$B$54=$A73)*1)</f>
        <v/>
      </c>
      <c r="E73" s="3">
        <f>SUMPRODUCT(('Colony Data'!$B$2:$B$54=$A73)*('Colony Data'!$F$2:$F$54))</f>
        <v/>
      </c>
      <c r="F73" s="3">
        <f>SUMPRODUCT(('Colony Data'!$B$2:$B$54=$A73)*('Colony Data'!$F$2:$F$54)^2)</f>
        <v/>
      </c>
      <c r="G73" s="3">
        <f>IF(D73=0,"",E73/D73)</f>
        <v/>
      </c>
      <c r="H73" s="3">
        <f>IF(D73&lt;=1,"",SQRT((F73-(E73^2)/D73)/(D73-1)))</f>
        <v/>
      </c>
    </row>
    <row r="74">
      <c r="A74" s="2" t="inlineStr">
        <is>
          <t>HS19_plate3</t>
        </is>
      </c>
      <c r="B74" s="2" t="inlineStr">
        <is>
          <t>HS19</t>
        </is>
      </c>
      <c r="C74" s="2" t="inlineStr">
        <is>
          <t>solidity</t>
        </is>
      </c>
      <c r="D74" s="2">
        <f>SUMPRODUCT(('Colony Data'!$B$2:$B$54=$A74)*1)</f>
        <v/>
      </c>
      <c r="E74" s="2">
        <f>SUMPRODUCT(('Colony Data'!$B$2:$B$54=$A74)*('Colony Data'!$G$2:$G$54))</f>
        <v/>
      </c>
      <c r="F74" s="2">
        <f>SUMPRODUCT(('Colony Data'!$B$2:$B$54=$A74)*('Colony Data'!$G$2:$G$54)^2)</f>
        <v/>
      </c>
      <c r="G74" s="2">
        <f>IF(D74=0,"",E74/D74)</f>
        <v/>
      </c>
      <c r="H74" s="2">
        <f>IF(D74&lt;=1,"",SQRT((F74-(E74^2)/D74)/(D74-1)))</f>
        <v/>
      </c>
    </row>
    <row r="75">
      <c r="A75" s="3" t="inlineStr">
        <is>
          <t>HS19_plate3</t>
        </is>
      </c>
      <c r="B75" s="3" t="inlineStr">
        <is>
          <t>HS19</t>
        </is>
      </c>
      <c r="C75" s="3" t="inlineStr">
        <is>
          <t>mean_hue</t>
        </is>
      </c>
      <c r="D75" s="3">
        <f>SUMPRODUCT(('Colony Data'!$B$2:$B$54=$A75)*1)</f>
        <v/>
      </c>
      <c r="E75" s="3">
        <f>SUMPRODUCT(('Colony Data'!$B$2:$B$54=$A75)*('Colony Data'!$H$2:$H$54))</f>
        <v/>
      </c>
      <c r="F75" s="3">
        <f>SUMPRODUCT(('Colony Data'!$B$2:$B$54=$A75)*('Colony Data'!$H$2:$H$54)^2)</f>
        <v/>
      </c>
      <c r="G75" s="3">
        <f>IF(D75=0,"",E75/D75)</f>
        <v/>
      </c>
      <c r="H75" s="3">
        <f>IF(D75&lt;=1,"",SQRT((F75-(E75^2)/D75)/(D75-1)))</f>
        <v/>
      </c>
    </row>
    <row r="76">
      <c r="A76" s="2" t="inlineStr">
        <is>
          <t>HS19_plate3</t>
        </is>
      </c>
      <c r="B76" s="2" t="inlineStr">
        <is>
          <t>HS19</t>
        </is>
      </c>
      <c r="C76" s="2" t="inlineStr">
        <is>
          <t>mean_sat</t>
        </is>
      </c>
      <c r="D76" s="2">
        <f>SUMPRODUCT(('Colony Data'!$B$2:$B$54=$A76)*1)</f>
        <v/>
      </c>
      <c r="E76" s="2">
        <f>SUMPRODUCT(('Colony Data'!$B$2:$B$54=$A76)*('Colony Data'!$I$2:$I$54))</f>
        <v/>
      </c>
      <c r="F76" s="2">
        <f>SUMPRODUCT(('Colony Data'!$B$2:$B$54=$A76)*('Colony Data'!$I$2:$I$54)^2)</f>
        <v/>
      </c>
      <c r="G76" s="2">
        <f>IF(D76=0,"",E76/D76)</f>
        <v/>
      </c>
      <c r="H76" s="2">
        <f>IF(D76&lt;=1,"",SQRT((F76-(E76^2)/D76)/(D76-1)))</f>
        <v/>
      </c>
    </row>
    <row r="77">
      <c r="A77" s="3" t="inlineStr">
        <is>
          <t>HS19_plate3</t>
        </is>
      </c>
      <c r="B77" s="3" t="inlineStr">
        <is>
          <t>HS19</t>
        </is>
      </c>
      <c r="C77" s="3" t="inlineStr">
        <is>
          <t>mean_val</t>
        </is>
      </c>
      <c r="D77" s="3">
        <f>SUMPRODUCT(('Colony Data'!$B$2:$B$54=$A77)*1)</f>
        <v/>
      </c>
      <c r="E77" s="3">
        <f>SUMPRODUCT(('Colony Data'!$B$2:$B$54=$A77)*('Colony Data'!$J$2:$J$54))</f>
        <v/>
      </c>
      <c r="F77" s="3">
        <f>SUMPRODUCT(('Colony Data'!$B$2:$B$54=$A77)*('Colony Data'!$J$2:$J$54)^2)</f>
        <v/>
      </c>
      <c r="G77" s="3">
        <f>IF(D77=0,"",E77/D77)</f>
        <v/>
      </c>
      <c r="H77" s="3">
        <f>IF(D77&lt;=1,"",SQRT((F77-(E77^2)/D77)/(D77-1)))</f>
        <v/>
      </c>
    </row>
    <row r="78">
      <c r="A78" s="2" t="inlineStr">
        <is>
          <t>HS19_plate3</t>
        </is>
      </c>
      <c r="B78" s="2" t="inlineStr">
        <is>
          <t>HS19</t>
        </is>
      </c>
      <c r="C78" s="2" t="inlineStr">
        <is>
          <t>std_hue</t>
        </is>
      </c>
      <c r="D78" s="2">
        <f>SUMPRODUCT(('Colony Data'!$B$2:$B$54=$A78)*1)</f>
        <v/>
      </c>
      <c r="E78" s="2">
        <f>SUMPRODUCT(('Colony Data'!$B$2:$B$54=$A78)*('Colony Data'!$K$2:$K$54))</f>
        <v/>
      </c>
      <c r="F78" s="2">
        <f>SUMPRODUCT(('Colony Data'!$B$2:$B$54=$A78)*('Colony Data'!$K$2:$K$54)^2)</f>
        <v/>
      </c>
      <c r="G78" s="2">
        <f>IF(D78=0,"",E78/D78)</f>
        <v/>
      </c>
      <c r="H78" s="2">
        <f>IF(D78&lt;=1,"",SQRT((F78-(E78^2)/D78)/(D78-1)))</f>
        <v/>
      </c>
    </row>
    <row r="79">
      <c r="A79" s="3" t="inlineStr">
        <is>
          <t>HS19_plate3</t>
        </is>
      </c>
      <c r="B79" s="3" t="inlineStr">
        <is>
          <t>HS19</t>
        </is>
      </c>
      <c r="C79" s="3" t="inlineStr">
        <is>
          <t>std_sat</t>
        </is>
      </c>
      <c r="D79" s="3">
        <f>SUMPRODUCT(('Colony Data'!$B$2:$B$54=$A79)*1)</f>
        <v/>
      </c>
      <c r="E79" s="3">
        <f>SUMPRODUCT(('Colony Data'!$B$2:$B$54=$A79)*('Colony Data'!$L$2:$L$54))</f>
        <v/>
      </c>
      <c r="F79" s="3">
        <f>SUMPRODUCT(('Colony Data'!$B$2:$B$54=$A79)*('Colony Data'!$L$2:$L$54)^2)</f>
        <v/>
      </c>
      <c r="G79" s="3">
        <f>IF(D79=0,"",E79/D79)</f>
        <v/>
      </c>
      <c r="H79" s="3">
        <f>IF(D79&lt;=1,"",SQRT((F79-(E79^2)/D79)/(D79-1)))</f>
        <v/>
      </c>
    </row>
    <row r="80">
      <c r="A80" s="2" t="inlineStr">
        <is>
          <t>HS19_plate3</t>
        </is>
      </c>
      <c r="B80" s="2" t="inlineStr">
        <is>
          <t>HS19</t>
        </is>
      </c>
      <c r="C80" s="2" t="inlineStr">
        <is>
          <t>std_val</t>
        </is>
      </c>
      <c r="D80" s="2">
        <f>SUMPRODUCT(('Colony Data'!$B$2:$B$54=$A80)*1)</f>
        <v/>
      </c>
      <c r="E80" s="2">
        <f>SUMPRODUCT(('Colony Data'!$B$2:$B$54=$A80)*('Colony Data'!$M$2:$M$54))</f>
        <v/>
      </c>
      <c r="F80" s="2">
        <f>SUMPRODUCT(('Colony Data'!$B$2:$B$54=$A80)*('Colony Data'!$M$2:$M$54)^2)</f>
        <v/>
      </c>
      <c r="G80" s="2">
        <f>IF(D80=0,"",E80/D80)</f>
        <v/>
      </c>
      <c r="H80" s="2">
        <f>IF(D80&lt;=1,"",SQRT((F80-(E80^2)/D80)/(D80-1)))</f>
        <v/>
      </c>
    </row>
    <row r="81">
      <c r="A81" s="3" t="inlineStr">
        <is>
          <t>HS19_plate3</t>
        </is>
      </c>
      <c r="B81" s="3" t="inlineStr">
        <is>
          <t>HS19</t>
        </is>
      </c>
      <c r="C81" s="3" t="inlineStr">
        <is>
          <t>texture_std</t>
        </is>
      </c>
      <c r="D81" s="3">
        <f>SUMPRODUCT(('Colony Data'!$B$2:$B$54=$A81)*1)</f>
        <v/>
      </c>
      <c r="E81" s="3">
        <f>SUMPRODUCT(('Colony Data'!$B$2:$B$54=$A81)*('Colony Data'!$N$2:$N$54))</f>
        <v/>
      </c>
      <c r="F81" s="3">
        <f>SUMPRODUCT(('Colony Data'!$B$2:$B$54=$A81)*('Colony Data'!$N$2:$N$54)^2)</f>
        <v/>
      </c>
      <c r="G81" s="3">
        <f>IF(D81=0,"",E81/D81)</f>
        <v/>
      </c>
      <c r="H81" s="3">
        <f>IF(D81&lt;=1,"",SQRT((F81-(E81^2)/D81)/(D81-1)))</f>
        <v/>
      </c>
    </row>
    <row r="82">
      <c r="A82" s="2" t="inlineStr">
        <is>
          <t>HS2_plate1</t>
        </is>
      </c>
      <c r="B82" s="2" t="inlineStr">
        <is>
          <t>HS2</t>
        </is>
      </c>
      <c r="C82" s="2" t="inlineStr">
        <is>
          <t>equiv_diameter</t>
        </is>
      </c>
      <c r="D82" s="2">
        <f>SUMPRODUCT(('Colony Data'!$B$2:$B$54=$A82)*1)</f>
        <v/>
      </c>
      <c r="E82" s="2">
        <f>SUMPRODUCT(('Colony Data'!$B$2:$B$54=$A82)*('Colony Data'!$E$2:$E$54))</f>
        <v/>
      </c>
      <c r="F82" s="2">
        <f>SUMPRODUCT(('Colony Data'!$B$2:$B$54=$A82)*('Colony Data'!$E$2:$E$54)^2)</f>
        <v/>
      </c>
      <c r="G82" s="2">
        <f>IF(D82=0,"",E82/D82)</f>
        <v/>
      </c>
      <c r="H82" s="2">
        <f>IF(D82&lt;=1,"",SQRT((F82-(E82^2)/D82)/(D82-1)))</f>
        <v/>
      </c>
    </row>
    <row r="83">
      <c r="A83" s="3" t="inlineStr">
        <is>
          <t>HS2_plate1</t>
        </is>
      </c>
      <c r="B83" s="3" t="inlineStr">
        <is>
          <t>HS2</t>
        </is>
      </c>
      <c r="C83" s="3" t="inlineStr">
        <is>
          <t>circularity</t>
        </is>
      </c>
      <c r="D83" s="3">
        <f>SUMPRODUCT(('Colony Data'!$B$2:$B$54=$A83)*1)</f>
        <v/>
      </c>
      <c r="E83" s="3">
        <f>SUMPRODUCT(('Colony Data'!$B$2:$B$54=$A83)*('Colony Data'!$F$2:$F$54))</f>
        <v/>
      </c>
      <c r="F83" s="3">
        <f>SUMPRODUCT(('Colony Data'!$B$2:$B$54=$A83)*('Colony Data'!$F$2:$F$54)^2)</f>
        <v/>
      </c>
      <c r="G83" s="3">
        <f>IF(D83=0,"",E83/D83)</f>
        <v/>
      </c>
      <c r="H83" s="3">
        <f>IF(D83&lt;=1,"",SQRT((F83-(E83^2)/D83)/(D83-1)))</f>
        <v/>
      </c>
    </row>
    <row r="84">
      <c r="A84" s="2" t="inlineStr">
        <is>
          <t>HS2_plate1</t>
        </is>
      </c>
      <c r="B84" s="2" t="inlineStr">
        <is>
          <t>HS2</t>
        </is>
      </c>
      <c r="C84" s="2" t="inlineStr">
        <is>
          <t>solidity</t>
        </is>
      </c>
      <c r="D84" s="2">
        <f>SUMPRODUCT(('Colony Data'!$B$2:$B$54=$A84)*1)</f>
        <v/>
      </c>
      <c r="E84" s="2">
        <f>SUMPRODUCT(('Colony Data'!$B$2:$B$54=$A84)*('Colony Data'!$G$2:$G$54))</f>
        <v/>
      </c>
      <c r="F84" s="2">
        <f>SUMPRODUCT(('Colony Data'!$B$2:$B$54=$A84)*('Colony Data'!$G$2:$G$54)^2)</f>
        <v/>
      </c>
      <c r="G84" s="2">
        <f>IF(D84=0,"",E84/D84)</f>
        <v/>
      </c>
      <c r="H84" s="2">
        <f>IF(D84&lt;=1,"",SQRT((F84-(E84^2)/D84)/(D84-1)))</f>
        <v/>
      </c>
    </row>
    <row r="85">
      <c r="A85" s="3" t="inlineStr">
        <is>
          <t>HS2_plate1</t>
        </is>
      </c>
      <c r="B85" s="3" t="inlineStr">
        <is>
          <t>HS2</t>
        </is>
      </c>
      <c r="C85" s="3" t="inlineStr">
        <is>
          <t>mean_hue</t>
        </is>
      </c>
      <c r="D85" s="3">
        <f>SUMPRODUCT(('Colony Data'!$B$2:$B$54=$A85)*1)</f>
        <v/>
      </c>
      <c r="E85" s="3">
        <f>SUMPRODUCT(('Colony Data'!$B$2:$B$54=$A85)*('Colony Data'!$H$2:$H$54))</f>
        <v/>
      </c>
      <c r="F85" s="3">
        <f>SUMPRODUCT(('Colony Data'!$B$2:$B$54=$A85)*('Colony Data'!$H$2:$H$54)^2)</f>
        <v/>
      </c>
      <c r="G85" s="3">
        <f>IF(D85=0,"",E85/D85)</f>
        <v/>
      </c>
      <c r="H85" s="3">
        <f>IF(D85&lt;=1,"",SQRT((F85-(E85^2)/D85)/(D85-1)))</f>
        <v/>
      </c>
    </row>
    <row r="86">
      <c r="A86" s="2" t="inlineStr">
        <is>
          <t>HS2_plate1</t>
        </is>
      </c>
      <c r="B86" s="2" t="inlineStr">
        <is>
          <t>HS2</t>
        </is>
      </c>
      <c r="C86" s="2" t="inlineStr">
        <is>
          <t>mean_sat</t>
        </is>
      </c>
      <c r="D86" s="2">
        <f>SUMPRODUCT(('Colony Data'!$B$2:$B$54=$A86)*1)</f>
        <v/>
      </c>
      <c r="E86" s="2">
        <f>SUMPRODUCT(('Colony Data'!$B$2:$B$54=$A86)*('Colony Data'!$I$2:$I$54))</f>
        <v/>
      </c>
      <c r="F86" s="2">
        <f>SUMPRODUCT(('Colony Data'!$B$2:$B$54=$A86)*('Colony Data'!$I$2:$I$54)^2)</f>
        <v/>
      </c>
      <c r="G86" s="2">
        <f>IF(D86=0,"",E86/D86)</f>
        <v/>
      </c>
      <c r="H86" s="2">
        <f>IF(D86&lt;=1,"",SQRT((F86-(E86^2)/D86)/(D86-1)))</f>
        <v/>
      </c>
    </row>
    <row r="87">
      <c r="A87" s="3" t="inlineStr">
        <is>
          <t>HS2_plate1</t>
        </is>
      </c>
      <c r="B87" s="3" t="inlineStr">
        <is>
          <t>HS2</t>
        </is>
      </c>
      <c r="C87" s="3" t="inlineStr">
        <is>
          <t>mean_val</t>
        </is>
      </c>
      <c r="D87" s="3">
        <f>SUMPRODUCT(('Colony Data'!$B$2:$B$54=$A87)*1)</f>
        <v/>
      </c>
      <c r="E87" s="3">
        <f>SUMPRODUCT(('Colony Data'!$B$2:$B$54=$A87)*('Colony Data'!$J$2:$J$54))</f>
        <v/>
      </c>
      <c r="F87" s="3">
        <f>SUMPRODUCT(('Colony Data'!$B$2:$B$54=$A87)*('Colony Data'!$J$2:$J$54)^2)</f>
        <v/>
      </c>
      <c r="G87" s="3">
        <f>IF(D87=0,"",E87/D87)</f>
        <v/>
      </c>
      <c r="H87" s="3">
        <f>IF(D87&lt;=1,"",SQRT((F87-(E87^2)/D87)/(D87-1)))</f>
        <v/>
      </c>
    </row>
    <row r="88">
      <c r="A88" s="2" t="inlineStr">
        <is>
          <t>HS2_plate1</t>
        </is>
      </c>
      <c r="B88" s="2" t="inlineStr">
        <is>
          <t>HS2</t>
        </is>
      </c>
      <c r="C88" s="2" t="inlineStr">
        <is>
          <t>std_hue</t>
        </is>
      </c>
      <c r="D88" s="2">
        <f>SUMPRODUCT(('Colony Data'!$B$2:$B$54=$A88)*1)</f>
        <v/>
      </c>
      <c r="E88" s="2">
        <f>SUMPRODUCT(('Colony Data'!$B$2:$B$54=$A88)*('Colony Data'!$K$2:$K$54))</f>
        <v/>
      </c>
      <c r="F88" s="2">
        <f>SUMPRODUCT(('Colony Data'!$B$2:$B$54=$A88)*('Colony Data'!$K$2:$K$54)^2)</f>
        <v/>
      </c>
      <c r="G88" s="2">
        <f>IF(D88=0,"",E88/D88)</f>
        <v/>
      </c>
      <c r="H88" s="2">
        <f>IF(D88&lt;=1,"",SQRT((F88-(E88^2)/D88)/(D88-1)))</f>
        <v/>
      </c>
    </row>
    <row r="89">
      <c r="A89" s="3" t="inlineStr">
        <is>
          <t>HS2_plate1</t>
        </is>
      </c>
      <c r="B89" s="3" t="inlineStr">
        <is>
          <t>HS2</t>
        </is>
      </c>
      <c r="C89" s="3" t="inlineStr">
        <is>
          <t>std_sat</t>
        </is>
      </c>
      <c r="D89" s="3">
        <f>SUMPRODUCT(('Colony Data'!$B$2:$B$54=$A89)*1)</f>
        <v/>
      </c>
      <c r="E89" s="3">
        <f>SUMPRODUCT(('Colony Data'!$B$2:$B$54=$A89)*('Colony Data'!$L$2:$L$54))</f>
        <v/>
      </c>
      <c r="F89" s="3">
        <f>SUMPRODUCT(('Colony Data'!$B$2:$B$54=$A89)*('Colony Data'!$L$2:$L$54)^2)</f>
        <v/>
      </c>
      <c r="G89" s="3">
        <f>IF(D89=0,"",E89/D89)</f>
        <v/>
      </c>
      <c r="H89" s="3">
        <f>IF(D89&lt;=1,"",SQRT((F89-(E89^2)/D89)/(D89-1)))</f>
        <v/>
      </c>
    </row>
    <row r="90">
      <c r="A90" s="2" t="inlineStr">
        <is>
          <t>HS2_plate1</t>
        </is>
      </c>
      <c r="B90" s="2" t="inlineStr">
        <is>
          <t>HS2</t>
        </is>
      </c>
      <c r="C90" s="2" t="inlineStr">
        <is>
          <t>std_val</t>
        </is>
      </c>
      <c r="D90" s="2">
        <f>SUMPRODUCT(('Colony Data'!$B$2:$B$54=$A90)*1)</f>
        <v/>
      </c>
      <c r="E90" s="2">
        <f>SUMPRODUCT(('Colony Data'!$B$2:$B$54=$A90)*('Colony Data'!$M$2:$M$54))</f>
        <v/>
      </c>
      <c r="F90" s="2">
        <f>SUMPRODUCT(('Colony Data'!$B$2:$B$54=$A90)*('Colony Data'!$M$2:$M$54)^2)</f>
        <v/>
      </c>
      <c r="G90" s="2">
        <f>IF(D90=0,"",E90/D90)</f>
        <v/>
      </c>
      <c r="H90" s="2">
        <f>IF(D90&lt;=1,"",SQRT((F90-(E90^2)/D90)/(D90-1)))</f>
        <v/>
      </c>
    </row>
    <row r="91">
      <c r="A91" s="3" t="inlineStr">
        <is>
          <t>HS2_plate1</t>
        </is>
      </c>
      <c r="B91" s="3" t="inlineStr">
        <is>
          <t>HS2</t>
        </is>
      </c>
      <c r="C91" s="3" t="inlineStr">
        <is>
          <t>texture_std</t>
        </is>
      </c>
      <c r="D91" s="3">
        <f>SUMPRODUCT(('Colony Data'!$B$2:$B$54=$A91)*1)</f>
        <v/>
      </c>
      <c r="E91" s="3">
        <f>SUMPRODUCT(('Colony Data'!$B$2:$B$54=$A91)*('Colony Data'!$N$2:$N$54))</f>
        <v/>
      </c>
      <c r="F91" s="3">
        <f>SUMPRODUCT(('Colony Data'!$B$2:$B$54=$A91)*('Colony Data'!$N$2:$N$54)^2)</f>
        <v/>
      </c>
      <c r="G91" s="3">
        <f>IF(D91=0,"",E91/D91)</f>
        <v/>
      </c>
      <c r="H91" s="3">
        <f>IF(D91&lt;=1,"",SQRT((F91-(E91^2)/D91)/(D91-1)))</f>
        <v/>
      </c>
    </row>
    <row r="92">
      <c r="A92" s="2" t="inlineStr">
        <is>
          <t>HS2_plate3</t>
        </is>
      </c>
      <c r="B92" s="2" t="inlineStr">
        <is>
          <t>HS2</t>
        </is>
      </c>
      <c r="C92" s="2" t="inlineStr">
        <is>
          <t>equiv_diameter</t>
        </is>
      </c>
      <c r="D92" s="2">
        <f>SUMPRODUCT(('Colony Data'!$B$2:$B$54=$A92)*1)</f>
        <v/>
      </c>
      <c r="E92" s="2">
        <f>SUMPRODUCT(('Colony Data'!$B$2:$B$54=$A92)*('Colony Data'!$E$2:$E$54))</f>
        <v/>
      </c>
      <c r="F92" s="2">
        <f>SUMPRODUCT(('Colony Data'!$B$2:$B$54=$A92)*('Colony Data'!$E$2:$E$54)^2)</f>
        <v/>
      </c>
      <c r="G92" s="2">
        <f>IF(D92=0,"",E92/D92)</f>
        <v/>
      </c>
      <c r="H92" s="2">
        <f>IF(D92&lt;=1,"",SQRT((F92-(E92^2)/D92)/(D92-1)))</f>
        <v/>
      </c>
    </row>
    <row r="93">
      <c r="A93" s="3" t="inlineStr">
        <is>
          <t>HS2_plate3</t>
        </is>
      </c>
      <c r="B93" s="3" t="inlineStr">
        <is>
          <t>HS2</t>
        </is>
      </c>
      <c r="C93" s="3" t="inlineStr">
        <is>
          <t>circularity</t>
        </is>
      </c>
      <c r="D93" s="3">
        <f>SUMPRODUCT(('Colony Data'!$B$2:$B$54=$A93)*1)</f>
        <v/>
      </c>
      <c r="E93" s="3">
        <f>SUMPRODUCT(('Colony Data'!$B$2:$B$54=$A93)*('Colony Data'!$F$2:$F$54))</f>
        <v/>
      </c>
      <c r="F93" s="3">
        <f>SUMPRODUCT(('Colony Data'!$B$2:$B$54=$A93)*('Colony Data'!$F$2:$F$54)^2)</f>
        <v/>
      </c>
      <c r="G93" s="3">
        <f>IF(D93=0,"",E93/D93)</f>
        <v/>
      </c>
      <c r="H93" s="3">
        <f>IF(D93&lt;=1,"",SQRT((F93-(E93^2)/D93)/(D93-1)))</f>
        <v/>
      </c>
    </row>
    <row r="94">
      <c r="A94" s="2" t="inlineStr">
        <is>
          <t>HS2_plate3</t>
        </is>
      </c>
      <c r="B94" s="2" t="inlineStr">
        <is>
          <t>HS2</t>
        </is>
      </c>
      <c r="C94" s="2" t="inlineStr">
        <is>
          <t>solidity</t>
        </is>
      </c>
      <c r="D94" s="2">
        <f>SUMPRODUCT(('Colony Data'!$B$2:$B$54=$A94)*1)</f>
        <v/>
      </c>
      <c r="E94" s="2">
        <f>SUMPRODUCT(('Colony Data'!$B$2:$B$54=$A94)*('Colony Data'!$G$2:$G$54))</f>
        <v/>
      </c>
      <c r="F94" s="2">
        <f>SUMPRODUCT(('Colony Data'!$B$2:$B$54=$A94)*('Colony Data'!$G$2:$G$54)^2)</f>
        <v/>
      </c>
      <c r="G94" s="2">
        <f>IF(D94=0,"",E94/D94)</f>
        <v/>
      </c>
      <c r="H94" s="2">
        <f>IF(D94&lt;=1,"",SQRT((F94-(E94^2)/D94)/(D94-1)))</f>
        <v/>
      </c>
    </row>
    <row r="95">
      <c r="A95" s="3" t="inlineStr">
        <is>
          <t>HS2_plate3</t>
        </is>
      </c>
      <c r="B95" s="3" t="inlineStr">
        <is>
          <t>HS2</t>
        </is>
      </c>
      <c r="C95" s="3" t="inlineStr">
        <is>
          <t>mean_hue</t>
        </is>
      </c>
      <c r="D95" s="3">
        <f>SUMPRODUCT(('Colony Data'!$B$2:$B$54=$A95)*1)</f>
        <v/>
      </c>
      <c r="E95" s="3">
        <f>SUMPRODUCT(('Colony Data'!$B$2:$B$54=$A95)*('Colony Data'!$H$2:$H$54))</f>
        <v/>
      </c>
      <c r="F95" s="3">
        <f>SUMPRODUCT(('Colony Data'!$B$2:$B$54=$A95)*('Colony Data'!$H$2:$H$54)^2)</f>
        <v/>
      </c>
      <c r="G95" s="3">
        <f>IF(D95=0,"",E95/D95)</f>
        <v/>
      </c>
      <c r="H95" s="3">
        <f>IF(D95&lt;=1,"",SQRT((F95-(E95^2)/D95)/(D95-1)))</f>
        <v/>
      </c>
    </row>
    <row r="96">
      <c r="A96" s="2" t="inlineStr">
        <is>
          <t>HS2_plate3</t>
        </is>
      </c>
      <c r="B96" s="2" t="inlineStr">
        <is>
          <t>HS2</t>
        </is>
      </c>
      <c r="C96" s="2" t="inlineStr">
        <is>
          <t>mean_sat</t>
        </is>
      </c>
      <c r="D96" s="2">
        <f>SUMPRODUCT(('Colony Data'!$B$2:$B$54=$A96)*1)</f>
        <v/>
      </c>
      <c r="E96" s="2">
        <f>SUMPRODUCT(('Colony Data'!$B$2:$B$54=$A96)*('Colony Data'!$I$2:$I$54))</f>
        <v/>
      </c>
      <c r="F96" s="2">
        <f>SUMPRODUCT(('Colony Data'!$B$2:$B$54=$A96)*('Colony Data'!$I$2:$I$54)^2)</f>
        <v/>
      </c>
      <c r="G96" s="2">
        <f>IF(D96=0,"",E96/D96)</f>
        <v/>
      </c>
      <c r="H96" s="2">
        <f>IF(D96&lt;=1,"",SQRT((F96-(E96^2)/D96)/(D96-1)))</f>
        <v/>
      </c>
    </row>
    <row r="97">
      <c r="A97" s="3" t="inlineStr">
        <is>
          <t>HS2_plate3</t>
        </is>
      </c>
      <c r="B97" s="3" t="inlineStr">
        <is>
          <t>HS2</t>
        </is>
      </c>
      <c r="C97" s="3" t="inlineStr">
        <is>
          <t>mean_val</t>
        </is>
      </c>
      <c r="D97" s="3">
        <f>SUMPRODUCT(('Colony Data'!$B$2:$B$54=$A97)*1)</f>
        <v/>
      </c>
      <c r="E97" s="3">
        <f>SUMPRODUCT(('Colony Data'!$B$2:$B$54=$A97)*('Colony Data'!$J$2:$J$54))</f>
        <v/>
      </c>
      <c r="F97" s="3">
        <f>SUMPRODUCT(('Colony Data'!$B$2:$B$54=$A97)*('Colony Data'!$J$2:$J$54)^2)</f>
        <v/>
      </c>
      <c r="G97" s="3">
        <f>IF(D97=0,"",E97/D97)</f>
        <v/>
      </c>
      <c r="H97" s="3">
        <f>IF(D97&lt;=1,"",SQRT((F97-(E97^2)/D97)/(D97-1)))</f>
        <v/>
      </c>
    </row>
    <row r="98">
      <c r="A98" s="2" t="inlineStr">
        <is>
          <t>HS2_plate3</t>
        </is>
      </c>
      <c r="B98" s="2" t="inlineStr">
        <is>
          <t>HS2</t>
        </is>
      </c>
      <c r="C98" s="2" t="inlineStr">
        <is>
          <t>std_hue</t>
        </is>
      </c>
      <c r="D98" s="2">
        <f>SUMPRODUCT(('Colony Data'!$B$2:$B$54=$A98)*1)</f>
        <v/>
      </c>
      <c r="E98" s="2">
        <f>SUMPRODUCT(('Colony Data'!$B$2:$B$54=$A98)*('Colony Data'!$K$2:$K$54))</f>
        <v/>
      </c>
      <c r="F98" s="2">
        <f>SUMPRODUCT(('Colony Data'!$B$2:$B$54=$A98)*('Colony Data'!$K$2:$K$54)^2)</f>
        <v/>
      </c>
      <c r="G98" s="2">
        <f>IF(D98=0,"",E98/D98)</f>
        <v/>
      </c>
      <c r="H98" s="2">
        <f>IF(D98&lt;=1,"",SQRT((F98-(E98^2)/D98)/(D98-1)))</f>
        <v/>
      </c>
    </row>
    <row r="99">
      <c r="A99" s="3" t="inlineStr">
        <is>
          <t>HS2_plate3</t>
        </is>
      </c>
      <c r="B99" s="3" t="inlineStr">
        <is>
          <t>HS2</t>
        </is>
      </c>
      <c r="C99" s="3" t="inlineStr">
        <is>
          <t>std_sat</t>
        </is>
      </c>
      <c r="D99" s="3">
        <f>SUMPRODUCT(('Colony Data'!$B$2:$B$54=$A99)*1)</f>
        <v/>
      </c>
      <c r="E99" s="3">
        <f>SUMPRODUCT(('Colony Data'!$B$2:$B$54=$A99)*('Colony Data'!$L$2:$L$54))</f>
        <v/>
      </c>
      <c r="F99" s="3">
        <f>SUMPRODUCT(('Colony Data'!$B$2:$B$54=$A99)*('Colony Data'!$L$2:$L$54)^2)</f>
        <v/>
      </c>
      <c r="G99" s="3">
        <f>IF(D99=0,"",E99/D99)</f>
        <v/>
      </c>
      <c r="H99" s="3">
        <f>IF(D99&lt;=1,"",SQRT((F99-(E99^2)/D99)/(D99-1)))</f>
        <v/>
      </c>
    </row>
    <row r="100">
      <c r="A100" s="2" t="inlineStr">
        <is>
          <t>HS2_plate3</t>
        </is>
      </c>
      <c r="B100" s="2" t="inlineStr">
        <is>
          <t>HS2</t>
        </is>
      </c>
      <c r="C100" s="2" t="inlineStr">
        <is>
          <t>std_val</t>
        </is>
      </c>
      <c r="D100" s="2">
        <f>SUMPRODUCT(('Colony Data'!$B$2:$B$54=$A100)*1)</f>
        <v/>
      </c>
      <c r="E100" s="2">
        <f>SUMPRODUCT(('Colony Data'!$B$2:$B$54=$A100)*('Colony Data'!$M$2:$M$54))</f>
        <v/>
      </c>
      <c r="F100" s="2">
        <f>SUMPRODUCT(('Colony Data'!$B$2:$B$54=$A100)*('Colony Data'!$M$2:$M$54)^2)</f>
        <v/>
      </c>
      <c r="G100" s="2">
        <f>IF(D100=0,"",E100/D100)</f>
        <v/>
      </c>
      <c r="H100" s="2">
        <f>IF(D100&lt;=1,"",SQRT((F100-(E100^2)/D100)/(D100-1)))</f>
        <v/>
      </c>
    </row>
    <row r="101">
      <c r="A101" s="3" t="inlineStr">
        <is>
          <t>HS2_plate3</t>
        </is>
      </c>
      <c r="B101" s="3" t="inlineStr">
        <is>
          <t>HS2</t>
        </is>
      </c>
      <c r="C101" s="3" t="inlineStr">
        <is>
          <t>texture_std</t>
        </is>
      </c>
      <c r="D101" s="3">
        <f>SUMPRODUCT(('Colony Data'!$B$2:$B$54=$A101)*1)</f>
        <v/>
      </c>
      <c r="E101" s="3">
        <f>SUMPRODUCT(('Colony Data'!$B$2:$B$54=$A101)*('Colony Data'!$N$2:$N$54))</f>
        <v/>
      </c>
      <c r="F101" s="3">
        <f>SUMPRODUCT(('Colony Data'!$B$2:$B$54=$A101)*('Colony Data'!$N$2:$N$54)^2)</f>
        <v/>
      </c>
      <c r="G101" s="3">
        <f>IF(D101=0,"",E101/D101)</f>
        <v/>
      </c>
      <c r="H101" s="3">
        <f>IF(D101&lt;=1,"",SQRT((F101-(E101^2)/D101)/(D101-1)))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2026-09-07T06:25:04Z</dcterms:created>
  <dcterms:modified xsi:type="dcterms:W3CDTF">2026-09-07T06:25:04Z</dcterms:modified>
</cp:coreProperties>
</file>